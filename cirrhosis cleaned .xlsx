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0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1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2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3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4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5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6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7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8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 drive\SHWETA\Education\MDX Study\Week 1-12\Business inteligence\coursework 12\Course work 2\excel dataset\New folder\"/>
    </mc:Choice>
  </mc:AlternateContent>
  <xr:revisionPtr revIDLastSave="0" documentId="13_ncr:1_{C1681428-B3CE-495A-87B1-6BB1519DDDBD}" xr6:coauthVersionLast="47" xr6:coauthVersionMax="47" xr10:uidLastSave="{00000000-0000-0000-0000-000000000000}"/>
  <bookViews>
    <workbookView xWindow="-108" yWindow="-108" windowWidth="23256" windowHeight="12456" firstSheet="5" activeTab="14" xr2:uid="{00000000-000D-0000-FFFF-FFFF00000000}"/>
  </bookViews>
  <sheets>
    <sheet name="cirrhosis (2)" sheetId="1" r:id="rId1"/>
    <sheet name="Partialy clean" sheetId="2" r:id="rId2"/>
    <sheet name="Cleaned" sheetId="26" r:id="rId3"/>
    <sheet name="Class" sheetId="5" r:id="rId4"/>
    <sheet name="N_Days" sheetId="7" r:id="rId5"/>
    <sheet name="Status" sheetId="8" r:id="rId6"/>
    <sheet name="Drug" sheetId="9" r:id="rId7"/>
    <sheet name="Age" sheetId="10" r:id="rId8"/>
    <sheet name="Sex" sheetId="11" r:id="rId9"/>
    <sheet name="Ascites" sheetId="12" r:id="rId10"/>
    <sheet name="Hepatomegaly" sheetId="13" r:id="rId11"/>
    <sheet name="Spiders" sheetId="14" r:id="rId12"/>
    <sheet name="Edema" sheetId="15" r:id="rId13"/>
    <sheet name="Bilirubin" sheetId="16" r:id="rId14"/>
    <sheet name="Cholesterol" sheetId="17" r:id="rId15"/>
    <sheet name="Albumin" sheetId="18" r:id="rId16"/>
    <sheet name="Copper" sheetId="19" r:id="rId17"/>
    <sheet name="SGOT" sheetId="20" r:id="rId18"/>
    <sheet name="Tryglicerides" sheetId="21" r:id="rId19"/>
    <sheet name="Prothrombin" sheetId="23" r:id="rId20"/>
    <sheet name="Platelets" sheetId="22" r:id="rId21"/>
  </sheets>
  <definedNames>
    <definedName name="_xlnm._FilterDatabase" localSheetId="5" hidden="1">Status!$D$1:$D$232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33" i="26" l="1"/>
  <c r="D233" i="26"/>
  <c r="U227" i="26"/>
  <c r="U229" i="26" s="1"/>
  <c r="D227" i="26"/>
  <c r="D229" i="26" s="1"/>
  <c r="U225" i="26"/>
  <c r="D225" i="26"/>
  <c r="U223" i="26"/>
  <c r="D223" i="26"/>
  <c r="U221" i="26"/>
  <c r="U231" i="26" s="1"/>
  <c r="D221" i="26"/>
  <c r="D231" i="26" s="1"/>
  <c r="U219" i="26"/>
  <c r="D219" i="26"/>
  <c r="D216" i="26"/>
  <c r="D214" i="26"/>
  <c r="C233" i="21"/>
  <c r="C227" i="21"/>
  <c r="C225" i="21"/>
  <c r="C223" i="21"/>
  <c r="C221" i="21"/>
  <c r="C231" i="21" s="1"/>
  <c r="C219" i="21"/>
  <c r="C229" i="21" s="1"/>
  <c r="C216" i="21"/>
  <c r="C214" i="21"/>
  <c r="J11" i="20"/>
  <c r="J10" i="20"/>
  <c r="B233" i="20"/>
  <c r="B227" i="20"/>
  <c r="B225" i="20"/>
  <c r="B223" i="20"/>
  <c r="B221" i="20"/>
  <c r="B231" i="20" s="1"/>
  <c r="B219" i="20"/>
  <c r="B229" i="20" s="1"/>
  <c r="B216" i="20"/>
  <c r="B214" i="20"/>
  <c r="C233" i="19" l="1"/>
  <c r="C227" i="19"/>
  <c r="C229" i="19" s="1"/>
  <c r="C225" i="19"/>
  <c r="C223" i="19"/>
  <c r="C221" i="19"/>
  <c r="C231" i="19" s="1"/>
  <c r="C219" i="19"/>
  <c r="C216" i="19"/>
  <c r="C214" i="19"/>
  <c r="B227" i="19"/>
  <c r="B213" i="17"/>
  <c r="D233" i="16"/>
  <c r="D227" i="16"/>
  <c r="D225" i="16"/>
  <c r="D223" i="16"/>
  <c r="D221" i="16"/>
  <c r="D219" i="16"/>
  <c r="D229" i="16" s="1"/>
  <c r="D216" i="16"/>
  <c r="D214" i="16"/>
  <c r="C233" i="16"/>
  <c r="C227" i="16"/>
  <c r="C225" i="16"/>
  <c r="C223" i="16"/>
  <c r="C221" i="16"/>
  <c r="C219" i="16"/>
  <c r="C216" i="16"/>
  <c r="C214" i="16"/>
  <c r="D231" i="16" l="1"/>
  <c r="D233" i="23"/>
  <c r="D227" i="23"/>
  <c r="D225" i="23"/>
  <c r="D223" i="23"/>
  <c r="D221" i="23"/>
  <c r="D219" i="23"/>
  <c r="D216" i="23"/>
  <c r="D214" i="23"/>
  <c r="D233" i="22"/>
  <c r="D227" i="22"/>
  <c r="D225" i="22"/>
  <c r="D223" i="22"/>
  <c r="D221" i="22"/>
  <c r="D219" i="22"/>
  <c r="D216" i="22"/>
  <c r="D214" i="22"/>
  <c r="B233" i="22"/>
  <c r="B227" i="22"/>
  <c r="B225" i="22"/>
  <c r="B223" i="22"/>
  <c r="B221" i="22"/>
  <c r="B231" i="22" s="1"/>
  <c r="B219" i="22"/>
  <c r="B216" i="22"/>
  <c r="B214" i="22"/>
  <c r="I11" i="21"/>
  <c r="D233" i="21"/>
  <c r="D227" i="21"/>
  <c r="D225" i="21"/>
  <c r="D223" i="21"/>
  <c r="D221" i="21"/>
  <c r="D219" i="21"/>
  <c r="D216" i="21"/>
  <c r="D214" i="21"/>
  <c r="B233" i="21"/>
  <c r="B227" i="21"/>
  <c r="B225" i="21"/>
  <c r="B223" i="21"/>
  <c r="B221" i="21"/>
  <c r="B231" i="21" s="1"/>
  <c r="B219" i="21"/>
  <c r="B216" i="21"/>
  <c r="B214" i="21"/>
  <c r="D233" i="20"/>
  <c r="D227" i="20"/>
  <c r="D225" i="20"/>
  <c r="D223" i="20"/>
  <c r="D221" i="20"/>
  <c r="D219" i="20"/>
  <c r="D216" i="20"/>
  <c r="D214" i="20"/>
  <c r="I12" i="19"/>
  <c r="I11" i="19"/>
  <c r="I10" i="19"/>
  <c r="D233" i="19"/>
  <c r="D227" i="19"/>
  <c r="D225" i="19"/>
  <c r="D223" i="19"/>
  <c r="D221" i="19"/>
  <c r="D219" i="19"/>
  <c r="D216" i="19"/>
  <c r="D214" i="19"/>
  <c r="B233" i="19"/>
  <c r="B225" i="19"/>
  <c r="B223" i="19"/>
  <c r="B221" i="19"/>
  <c r="B219" i="19"/>
  <c r="B216" i="19"/>
  <c r="B214" i="19"/>
  <c r="D233" i="18"/>
  <c r="D227" i="18"/>
  <c r="D225" i="18"/>
  <c r="D223" i="18"/>
  <c r="D221" i="18"/>
  <c r="D231" i="18" s="1"/>
  <c r="D219" i="18"/>
  <c r="D216" i="18"/>
  <c r="D214" i="18"/>
  <c r="I15" i="17"/>
  <c r="I14" i="17"/>
  <c r="I13" i="17"/>
  <c r="I12" i="17"/>
  <c r="I11" i="17"/>
  <c r="I10" i="17"/>
  <c r="D232" i="17"/>
  <c r="D226" i="17"/>
  <c r="D224" i="17"/>
  <c r="D222" i="17"/>
  <c r="D220" i="17"/>
  <c r="D218" i="17"/>
  <c r="D215" i="17"/>
  <c r="D213" i="17"/>
  <c r="B232" i="17"/>
  <c r="B226" i="17"/>
  <c r="B224" i="17"/>
  <c r="B222" i="17"/>
  <c r="B220" i="17"/>
  <c r="B230" i="17" s="1"/>
  <c r="B218" i="17"/>
  <c r="B215" i="17"/>
  <c r="I11" i="16"/>
  <c r="I13" i="16"/>
  <c r="I12" i="16"/>
  <c r="D231" i="22" l="1"/>
  <c r="B231" i="19"/>
  <c r="D231" i="23"/>
  <c r="D231" i="21"/>
  <c r="D231" i="20"/>
  <c r="D231" i="19"/>
  <c r="C229" i="16"/>
  <c r="C231" i="16"/>
  <c r="D230" i="17"/>
  <c r="D229" i="23"/>
  <c r="D229" i="22"/>
  <c r="B229" i="22"/>
  <c r="D229" i="21"/>
  <c r="B229" i="21"/>
  <c r="D229" i="20"/>
  <c r="D229" i="19"/>
  <c r="B229" i="19"/>
  <c r="D229" i="18"/>
  <c r="D228" i="17"/>
  <c r="B228" i="17"/>
  <c r="H9" i="15"/>
  <c r="H8" i="15"/>
  <c r="H7" i="15"/>
  <c r="D233" i="15"/>
  <c r="D231" i="15"/>
  <c r="D227" i="15"/>
  <c r="D229" i="15" s="1"/>
  <c r="D225" i="15"/>
  <c r="D223" i="15"/>
  <c r="D221" i="15"/>
  <c r="D219" i="15"/>
  <c r="D216" i="15"/>
  <c r="D214" i="15"/>
  <c r="I8" i="14"/>
  <c r="I7" i="14"/>
  <c r="D233" i="14"/>
  <c r="D227" i="14"/>
  <c r="D225" i="14"/>
  <c r="D223" i="14"/>
  <c r="D221" i="14"/>
  <c r="D231" i="14" s="1"/>
  <c r="D219" i="14"/>
  <c r="D229" i="14" s="1"/>
  <c r="D216" i="14"/>
  <c r="D214" i="14"/>
  <c r="I8" i="13"/>
  <c r="I7" i="13"/>
  <c r="D232" i="13"/>
  <c r="D228" i="13"/>
  <c r="D226" i="13"/>
  <c r="D224" i="13"/>
  <c r="D222" i="13"/>
  <c r="D220" i="13"/>
  <c r="D230" i="13" s="1"/>
  <c r="D218" i="13"/>
  <c r="D215" i="13"/>
  <c r="D213" i="13"/>
  <c r="H9" i="12"/>
  <c r="H8" i="12"/>
  <c r="D232" i="12"/>
  <c r="D226" i="12"/>
  <c r="D228" i="12" s="1"/>
  <c r="D224" i="12"/>
  <c r="D222" i="12"/>
  <c r="D220" i="12"/>
  <c r="D230" i="12" s="1"/>
  <c r="D218" i="12"/>
  <c r="D215" i="12"/>
  <c r="D213" i="12"/>
  <c r="D232" i="11"/>
  <c r="D226" i="11"/>
  <c r="D228" i="11" s="1"/>
  <c r="D224" i="11"/>
  <c r="D222" i="11"/>
  <c r="D220" i="11"/>
  <c r="D230" i="11" s="1"/>
  <c r="D218" i="11"/>
  <c r="D215" i="11"/>
  <c r="D213" i="11"/>
  <c r="I8" i="11"/>
  <c r="I7" i="11"/>
  <c r="E232" i="10"/>
  <c r="E226" i="10"/>
  <c r="E228" i="10" s="1"/>
  <c r="E224" i="10"/>
  <c r="E222" i="10"/>
  <c r="E220" i="10"/>
  <c r="E230" i="10" s="1"/>
  <c r="E218" i="10"/>
  <c r="E215" i="10"/>
  <c r="E213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3" i="10"/>
  <c r="D232" i="9" l="1"/>
  <c r="D230" i="9"/>
  <c r="D228" i="9"/>
  <c r="D226" i="9"/>
  <c r="D224" i="9"/>
  <c r="D222" i="9"/>
  <c r="D220" i="9"/>
  <c r="D218" i="9"/>
  <c r="D215" i="9"/>
  <c r="D213" i="9"/>
  <c r="H8" i="9"/>
  <c r="H7" i="9"/>
  <c r="D232" i="8"/>
  <c r="D230" i="8"/>
  <c r="D228" i="8"/>
  <c r="D226" i="8"/>
  <c r="D224" i="8"/>
  <c r="D222" i="8"/>
  <c r="D220" i="8"/>
  <c r="D218" i="8"/>
  <c r="D215" i="8"/>
  <c r="D213" i="8"/>
  <c r="L10" i="8"/>
  <c r="L9" i="8"/>
  <c r="L8" i="8"/>
  <c r="D232" i="7"/>
  <c r="D230" i="7"/>
  <c r="D228" i="7"/>
  <c r="D226" i="7"/>
  <c r="D224" i="7"/>
  <c r="D222" i="7"/>
  <c r="D220" i="7"/>
  <c r="D218" i="7"/>
  <c r="D215" i="7"/>
  <c r="D213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D232" i="5"/>
  <c r="D230" i="5"/>
  <c r="D228" i="5"/>
  <c r="D226" i="5"/>
  <c r="D224" i="5"/>
  <c r="D222" i="5"/>
  <c r="D220" i="5"/>
  <c r="D218" i="5"/>
  <c r="H15" i="5"/>
  <c r="H14" i="5"/>
  <c r="H13" i="5"/>
  <c r="H12" i="5"/>
  <c r="U233" i="2"/>
  <c r="D233" i="2"/>
  <c r="U229" i="2"/>
  <c r="D229" i="2"/>
  <c r="U227" i="2"/>
  <c r="D227" i="2"/>
  <c r="U225" i="2"/>
  <c r="D225" i="2"/>
  <c r="U223" i="2"/>
  <c r="D223" i="2"/>
  <c r="U221" i="2"/>
  <c r="U231" i="2" s="1"/>
  <c r="D221" i="2"/>
  <c r="D231" i="2" s="1"/>
  <c r="U219" i="2"/>
  <c r="D219" i="2"/>
  <c r="D216" i="2"/>
  <c r="D214" i="2"/>
</calcChain>
</file>

<file path=xl/sharedStrings.xml><?xml version="1.0" encoding="utf-8"?>
<sst xmlns="http://schemas.openxmlformats.org/spreadsheetml/2006/main" count="6560" uniqueCount="201">
  <si>
    <t>N_Days</t>
  </si>
  <si>
    <t>Status</t>
  </si>
  <si>
    <t>Drug</t>
  </si>
  <si>
    <t>Age</t>
  </si>
  <si>
    <t>Sex</t>
  </si>
  <si>
    <t>Ascites</t>
  </si>
  <si>
    <t>Hepatomegaly</t>
  </si>
  <si>
    <t>Spiders</t>
  </si>
  <si>
    <t>Edema</t>
  </si>
  <si>
    <t>Bilirubin</t>
  </si>
  <si>
    <t>Cholesterol</t>
  </si>
  <si>
    <t>Albumin</t>
  </si>
  <si>
    <t>Copper</t>
  </si>
  <si>
    <t>SGOT</t>
  </si>
  <si>
    <t>Tryglicerides</t>
  </si>
  <si>
    <t>Platelets</t>
  </si>
  <si>
    <t>Prothrombin</t>
  </si>
  <si>
    <t>Stage</t>
  </si>
  <si>
    <t>D</t>
  </si>
  <si>
    <t>D-penicillamine</t>
  </si>
  <si>
    <t>F</t>
  </si>
  <si>
    <t>Y</t>
  </si>
  <si>
    <t>1) N_Days: number of days between registration and the earlier of death, transplantation, or study analysis time in July 1986</t>
  </si>
  <si>
    <t>C</t>
  </si>
  <si>
    <t>N</t>
  </si>
  <si>
    <t>2) Status: status of the patient C (censored), CL (censored due to liver tx), or D (death)</t>
  </si>
  <si>
    <t>M</t>
  </si>
  <si>
    <t>S</t>
  </si>
  <si>
    <t>3) Drug: type of drug D-penicillamine or placebo</t>
  </si>
  <si>
    <t>4) Age: age in [days]</t>
  </si>
  <si>
    <t>CL</t>
  </si>
  <si>
    <t>Placebo</t>
  </si>
  <si>
    <t>5) Sex: M (male) or F (female)</t>
  </si>
  <si>
    <t>NA</t>
  </si>
  <si>
    <t>6) Ascites: presence of ascites N (No) or Y (Yes)</t>
  </si>
  <si>
    <t>7) Hepatomegaly: presence of hepatomegaly N (No) or Y (Yes)</t>
  </si>
  <si>
    <t>8) Spiders: presence of spiders N (No) or Y (Yes)</t>
  </si>
  <si>
    <t>9) Edema: presence of edema N (no edema and no diuretic therapy for edema), S (edema present without diuretics, or edema resolved by diuretics), or Y (edema despite diuretic therapy)</t>
  </si>
  <si>
    <t>10) Bilirubin: serum bilirubin in [mg/dl]</t>
  </si>
  <si>
    <t>11) Cholesterol: serum cholesterol in [mg/dl]</t>
  </si>
  <si>
    <t>12) Albumin: albumin in [gm/dl]</t>
  </si>
  <si>
    <t>13) Copper: urine copper in [ug/day]</t>
  </si>
  <si>
    <t>14) SGOT: SGOT in [U/ml]</t>
  </si>
  <si>
    <t>15) Triglycerides: triglicerides in [mg/dl]</t>
  </si>
  <si>
    <t>16) Platelets: platelets per cubic [ml/1000]</t>
  </si>
  <si>
    <t>17) Prothrombin: prothrombin time in seconds [s]</t>
  </si>
  <si>
    <t>18) Stage: histologic stage of disease (1, 2, 3, or 4) class</t>
  </si>
  <si>
    <t>Mean</t>
  </si>
  <si>
    <t>St. Dev</t>
  </si>
  <si>
    <t>Min</t>
  </si>
  <si>
    <t>Q1</t>
  </si>
  <si>
    <t>Median</t>
  </si>
  <si>
    <t>Q3</t>
  </si>
  <si>
    <t>Max</t>
  </si>
  <si>
    <t>Range</t>
  </si>
  <si>
    <t>IQR</t>
  </si>
  <si>
    <t>Mode</t>
  </si>
  <si>
    <t>Class/ Stage</t>
  </si>
  <si>
    <t>Variable Type</t>
  </si>
  <si>
    <t>Categorical</t>
  </si>
  <si>
    <t xml:space="preserve">Missing values </t>
  </si>
  <si>
    <t>None</t>
  </si>
  <si>
    <t>freq diagram</t>
  </si>
  <si>
    <t>Freq.</t>
  </si>
  <si>
    <t>value</t>
  </si>
  <si>
    <t>1 - histologic stage 1</t>
  </si>
  <si>
    <t>2 - histologic stage 2</t>
  </si>
  <si>
    <t>3 - histologic stage 3</t>
  </si>
  <si>
    <t>4 - histologic stage 4</t>
  </si>
  <si>
    <t>N. of years</t>
  </si>
  <si>
    <t>number of days between registration and the earlier of death, transplantation, or study analysis time in July 1986</t>
  </si>
  <si>
    <t>Variable type</t>
  </si>
  <si>
    <t>Integer</t>
  </si>
  <si>
    <t>Missing</t>
  </si>
  <si>
    <t>Freq Distribution</t>
  </si>
  <si>
    <t>freq</t>
  </si>
  <si>
    <t>U40</t>
  </si>
  <si>
    <t>U50</t>
  </si>
  <si>
    <t>U60</t>
  </si>
  <si>
    <t>U70</t>
  </si>
  <si>
    <t>OAP</t>
  </si>
  <si>
    <t>Status(numeric)</t>
  </si>
  <si>
    <t>C-1</t>
  </si>
  <si>
    <t>Categorical (change Status in numerical) : status of the patient C (censored), CL (censored due to liver tx), or D (death)</t>
  </si>
  <si>
    <t>CL-2</t>
  </si>
  <si>
    <t>D-3</t>
  </si>
  <si>
    <t>freq.</t>
  </si>
  <si>
    <t>Censored©-1</t>
  </si>
  <si>
    <t>Censored due to liver tx(CL)- 2</t>
  </si>
  <si>
    <t>Death(D)- 3</t>
  </si>
  <si>
    <t>Drug-numenric)</t>
  </si>
  <si>
    <t xml:space="preserve"> Catogorial-Drug: type of drug D-penicillamine(1) or placebo(2)</t>
  </si>
  <si>
    <t>Frequncy Diaagram</t>
  </si>
  <si>
    <t>Value</t>
  </si>
  <si>
    <t>1- D-penicillamine</t>
  </si>
  <si>
    <t>2- Placebo</t>
  </si>
  <si>
    <t>Age in years</t>
  </si>
  <si>
    <t>Categorial - Age: age in [days]</t>
  </si>
  <si>
    <t>Missing Value</t>
  </si>
  <si>
    <t>Frequency Diagram</t>
  </si>
  <si>
    <t xml:space="preserve"> Catogorial-Sex: Female (F=1)  and Male (M=2)</t>
  </si>
  <si>
    <t>1- Female</t>
  </si>
  <si>
    <t>2- Male</t>
  </si>
  <si>
    <t>Variables</t>
  </si>
  <si>
    <t>Categorial- Ascites: presence of ascites N = 1(No) or Y=2 (Yes)</t>
  </si>
  <si>
    <t>No</t>
  </si>
  <si>
    <t>Frequency diagram</t>
  </si>
  <si>
    <t>1- No</t>
  </si>
  <si>
    <t>2 - Yes</t>
  </si>
  <si>
    <t xml:space="preserve"> Catogorial- Hepatomegaly: presence of hepatomegaly N (No) or Y (Yes)/ Where N=1 &amp; Y=2</t>
  </si>
  <si>
    <t xml:space="preserve"> Catogorial-  Spiders: presence of spiders N (No) or Y (Yes)/ Where N=1 &amp; Y=2</t>
  </si>
  <si>
    <t xml:space="preserve"> Catogorial-  Edema: presence of edema N (no edema and no diuretic therapy for edema), S (edema present without diuretics, or edema resolved by diuretics), or Y (edema despite diuretic therapy)/ Where N=1, S= 2 &amp; Y=3</t>
  </si>
  <si>
    <t>1- No Edema, no diuretic</t>
  </si>
  <si>
    <t>2- Edema present without diuretic</t>
  </si>
  <si>
    <t>3- Edema present despite diuretic</t>
  </si>
  <si>
    <t>Numeric</t>
  </si>
  <si>
    <t>Missing Values</t>
  </si>
  <si>
    <t>Group</t>
  </si>
  <si>
    <t>&lt;0.3</t>
  </si>
  <si>
    <t>Low</t>
  </si>
  <si>
    <t>0.3-1.9</t>
  </si>
  <si>
    <t>Normal</t>
  </si>
  <si>
    <t>2.0 - 3.0</t>
  </si>
  <si>
    <t>High</t>
  </si>
  <si>
    <t>&gt;3.0</t>
  </si>
  <si>
    <t>Very High</t>
  </si>
  <si>
    <t>Cholesterol(cleaned)</t>
  </si>
  <si>
    <t>replaced by mode</t>
  </si>
  <si>
    <t>&lt;150</t>
  </si>
  <si>
    <t>200-239</t>
  </si>
  <si>
    <t>Boarderline</t>
  </si>
  <si>
    <t>240-300</t>
  </si>
  <si>
    <t xml:space="preserve"> High</t>
  </si>
  <si>
    <t>301- 400</t>
  </si>
  <si>
    <t>Very high</t>
  </si>
  <si>
    <t>&gt;400</t>
  </si>
  <si>
    <t>At risk</t>
  </si>
  <si>
    <t>&lt;3.4</t>
  </si>
  <si>
    <t xml:space="preserve">3.4 - 5.4 </t>
  </si>
  <si>
    <t>Copper(cleaned)</t>
  </si>
  <si>
    <t>&lt;10</t>
  </si>
  <si>
    <t>10.0- 30.0</t>
  </si>
  <si>
    <t>&gt;30</t>
  </si>
  <si>
    <t>high</t>
  </si>
  <si>
    <t>&gt;100</t>
  </si>
  <si>
    <t>150 to 199</t>
  </si>
  <si>
    <t>Boarderline high</t>
  </si>
  <si>
    <t>200-499</t>
  </si>
  <si>
    <t>&gt;500</t>
  </si>
  <si>
    <t>very High</t>
  </si>
  <si>
    <t xml:space="preserve">replace by mean </t>
  </si>
  <si>
    <t>Freq Density</t>
  </si>
  <si>
    <t>150-450</t>
  </si>
  <si>
    <t>&gt;450</t>
  </si>
  <si>
    <t>Less Time</t>
  </si>
  <si>
    <t>10 -- 14</t>
  </si>
  <si>
    <t>Average Time</t>
  </si>
  <si>
    <t>&gt;14</t>
  </si>
  <si>
    <t>Higher Time</t>
  </si>
  <si>
    <t>(Changed into numerical-  C-1, CL-2, D-3)</t>
  </si>
  <si>
    <t>Changed ito numerical: M=1, F=2)</t>
  </si>
  <si>
    <t>value(no. of days)</t>
  </si>
  <si>
    <t>41 - 60</t>
  </si>
  <si>
    <t>61- 80</t>
  </si>
  <si>
    <t>Outliers</t>
  </si>
  <si>
    <t>20, 21.6,22.5,25.5, 28</t>
  </si>
  <si>
    <t>358, 444, 464, 558, 588</t>
  </si>
  <si>
    <t>Outlier</t>
  </si>
  <si>
    <t>Replaced by maxmimun number</t>
  </si>
  <si>
    <t>Outlier replaced by maximum number</t>
  </si>
  <si>
    <t>Missing Value replaced by mean</t>
  </si>
  <si>
    <t>replaced by mean</t>
  </si>
  <si>
    <t>150-199</t>
  </si>
  <si>
    <t>5 to 40</t>
  </si>
  <si>
    <t>40 - 100</t>
  </si>
  <si>
    <t>280.55, 299.15,328.6,457.25</t>
  </si>
  <si>
    <t>Triglycerides(outlier)</t>
  </si>
  <si>
    <t>Triglycerides(missing value)</t>
  </si>
  <si>
    <t>Class</t>
  </si>
  <si>
    <t>Yes</t>
  </si>
  <si>
    <t>20- 40</t>
  </si>
  <si>
    <t>Under 40</t>
  </si>
  <si>
    <t>Under41-60</t>
  </si>
  <si>
    <t>Under61-80</t>
  </si>
  <si>
    <t>U30</t>
  </si>
  <si>
    <t>20-29</t>
  </si>
  <si>
    <t>30-39</t>
  </si>
  <si>
    <t>40-49</t>
  </si>
  <si>
    <t>50-59</t>
  </si>
  <si>
    <t>60-69</t>
  </si>
  <si>
    <t>70-79</t>
  </si>
  <si>
    <t>0-999</t>
  </si>
  <si>
    <t>1000 - 1999</t>
  </si>
  <si>
    <t>U 1000</t>
  </si>
  <si>
    <t>U 2000</t>
  </si>
  <si>
    <t>2000-2999</t>
  </si>
  <si>
    <t>U3000</t>
  </si>
  <si>
    <t>3000- 3999</t>
  </si>
  <si>
    <t>U4000</t>
  </si>
  <si>
    <t>U5000</t>
  </si>
  <si>
    <t>4000-4999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</si>
</sst>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rgb="FF000000"/>
      <name val="Arial"/>
      <family val="2"/>
    </font>
    <font>
      <sz val="12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3366FF"/>
      <name val="Calibri"/>
      <scheme val="minor"/>
    </font>
    <font>
      <sz val="12"/>
      <color rgb="FF000000"/>
      <name val="Calibri"/>
      <family val="2"/>
    </font>
    <font>
      <sz val="12"/>
      <color rgb="FF3366FF"/>
      <name val="Calibri"/>
    </font>
    <font>
      <b/>
      <sz val="12"/>
      <color rgb="FF202124"/>
      <name val="Arial"/>
      <family val="2"/>
      <charset val="1"/>
    </font>
    <font>
      <sz val="11"/>
      <color rgb="FF444444"/>
      <name val="Calibri"/>
      <family val="2"/>
      <charset val="1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3366FF"/>
      <name val="Calibri"/>
      <family val="2"/>
      <scheme val="minor"/>
    </font>
    <font>
      <sz val="12"/>
      <color rgb="FF0070C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8" fillId="0" borderId="0" xfId="0" applyFont="1" applyAlignment="1">
      <alignment vertical="center"/>
    </xf>
    <xf numFmtId="0" fontId="18" fillId="3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9" fillId="0" borderId="0" xfId="0" applyFont="1"/>
    <xf numFmtId="0" fontId="16" fillId="0" borderId="0" xfId="0" applyFont="1"/>
    <xf numFmtId="16" fontId="0" fillId="0" borderId="0" xfId="0" applyNumberFormat="1"/>
    <xf numFmtId="10" fontId="0" fillId="0" borderId="0" xfId="0" applyNumberFormat="1"/>
    <xf numFmtId="0" fontId="0" fillId="0" borderId="0" xfId="0" applyAlignment="1">
      <alignment wrapText="1"/>
    </xf>
    <xf numFmtId="0" fontId="22" fillId="0" borderId="0" xfId="0" applyFont="1"/>
    <xf numFmtId="0" fontId="0" fillId="34" borderId="0" xfId="0" applyFill="1"/>
    <xf numFmtId="0" fontId="23" fillId="0" borderId="0" xfId="0" applyFont="1"/>
    <xf numFmtId="0" fontId="23" fillId="0" borderId="0" xfId="0" applyFont="1" applyAlignment="1">
      <alignment wrapText="1"/>
    </xf>
    <xf numFmtId="0" fontId="24" fillId="0" borderId="0" xfId="0" applyFont="1"/>
    <xf numFmtId="16" fontId="23" fillId="0" borderId="0" xfId="0" applyNumberFormat="1" applyFont="1"/>
    <xf numFmtId="0" fontId="25" fillId="0" borderId="0" xfId="0" applyFont="1"/>
    <xf numFmtId="0" fontId="26" fillId="0" borderId="0" xfId="0" applyFont="1"/>
    <xf numFmtId="0" fontId="18" fillId="34" borderId="0" xfId="0" applyFont="1" applyFill="1" applyAlignment="1">
      <alignment vertical="center"/>
    </xf>
    <xf numFmtId="0" fontId="20" fillId="0" borderId="0" xfId="0" applyFont="1" applyAlignment="1">
      <alignment horizontal="center"/>
    </xf>
    <xf numFmtId="0" fontId="0" fillId="35" borderId="0" xfId="0" applyFill="1"/>
    <xf numFmtId="0" fontId="29" fillId="0" borderId="0" xfId="0" applyFont="1"/>
    <xf numFmtId="0" fontId="28" fillId="0" borderId="0" xfId="0" applyFont="1"/>
    <xf numFmtId="0" fontId="30" fillId="0" borderId="0" xfId="0" applyFont="1" applyAlignment="1">
      <alignment wrapText="1"/>
    </xf>
    <xf numFmtId="0" fontId="27" fillId="35" borderId="0" xfId="0" applyFont="1" applyFill="1"/>
    <xf numFmtId="0" fontId="27" fillId="0" borderId="0" xfId="0" applyFont="1"/>
    <xf numFmtId="3" fontId="24" fillId="0" borderId="0" xfId="0" applyNumberFormat="1" applyFont="1"/>
    <xf numFmtId="0" fontId="20" fillId="0" borderId="0" xfId="0" applyFont="1" applyAlignment="1">
      <alignment horizontal="centerContinuous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Class Variables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Class!$H$10</c:f>
              <c:strCache>
                <c:ptCount val="1"/>
                <c:pt idx="0">
                  <c:v>Freq.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Class!$G$11:$G$15</c:f>
              <c:strCache>
                <c:ptCount val="5"/>
                <c:pt idx="0">
                  <c:v>value</c:v>
                </c:pt>
                <c:pt idx="1">
                  <c:v>1 - histologic stage 1</c:v>
                </c:pt>
                <c:pt idx="2">
                  <c:v>2 - histologic stage 2</c:v>
                </c:pt>
                <c:pt idx="3">
                  <c:v>3 - histologic stage 3</c:v>
                </c:pt>
                <c:pt idx="4">
                  <c:v>4 - histologic stage 4</c:v>
                </c:pt>
              </c:strCache>
            </c:strRef>
          </c:cat>
          <c:val>
            <c:numRef>
              <c:f>Class!$H$11:$H$15</c:f>
              <c:numCache>
                <c:formatCode>General</c:formatCode>
                <c:ptCount val="5"/>
                <c:pt idx="1">
                  <c:v>16</c:v>
                </c:pt>
                <c:pt idx="2">
                  <c:v>42</c:v>
                </c:pt>
                <c:pt idx="3">
                  <c:v>80</c:v>
                </c:pt>
                <c:pt idx="4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D9-41A2-9DE1-8F3A70B7B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3187839"/>
        <c:axId val="1933180767"/>
      </c:barChart>
      <c:catAx>
        <c:axId val="1933187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180767"/>
        <c:crosses val="autoZero"/>
        <c:auto val="1"/>
        <c:lblAlgn val="ctr"/>
        <c:lblOffset val="100"/>
        <c:noMultiLvlLbl val="0"/>
      </c:catAx>
      <c:valAx>
        <c:axId val="193318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187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tx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Class Variables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Class!$H$10:$H$11</c:f>
              <c:strCache>
                <c:ptCount val="2"/>
                <c:pt idx="0">
                  <c:v>Freq.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DC3-43C5-A719-5758E296445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DC3-43C5-A719-5758E296445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DC3-43C5-A719-5758E296445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DC3-43C5-A719-5758E296445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Class!$G$12:$G$15</c:f>
              <c:strCache>
                <c:ptCount val="4"/>
                <c:pt idx="0">
                  <c:v>1 - histologic stage 1</c:v>
                </c:pt>
                <c:pt idx="1">
                  <c:v>2 - histologic stage 2</c:v>
                </c:pt>
                <c:pt idx="2">
                  <c:v>3 - histologic stage 3</c:v>
                </c:pt>
                <c:pt idx="3">
                  <c:v>4 - histologic stage 4</c:v>
                </c:pt>
              </c:strCache>
            </c:strRef>
          </c:cat>
          <c:val>
            <c:numRef>
              <c:f>Class!$H$12:$H$15</c:f>
              <c:numCache>
                <c:formatCode>General</c:formatCode>
                <c:ptCount val="4"/>
                <c:pt idx="0">
                  <c:v>16</c:v>
                </c:pt>
                <c:pt idx="1">
                  <c:v>42</c:v>
                </c:pt>
                <c:pt idx="2">
                  <c:v>80</c:v>
                </c:pt>
                <c:pt idx="3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3B-42EF-9A5A-6A290CD6DF1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No. of days Servival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N_Days!$G$8:$H$12</c:f>
              <c:multiLvlStrCache>
                <c:ptCount val="5"/>
                <c:lvl>
                  <c:pt idx="0">
                    <c:v>0-999</c:v>
                  </c:pt>
                  <c:pt idx="1">
                    <c:v>1000 - 1999</c:v>
                  </c:pt>
                  <c:pt idx="2">
                    <c:v>2000-2999</c:v>
                  </c:pt>
                  <c:pt idx="3">
                    <c:v>3000- 3999</c:v>
                  </c:pt>
                  <c:pt idx="4">
                    <c:v>4000-4999</c:v>
                  </c:pt>
                </c:lvl>
                <c:lvl>
                  <c:pt idx="0">
                    <c:v>U 1000</c:v>
                  </c:pt>
                  <c:pt idx="1">
                    <c:v>U 2000</c:v>
                  </c:pt>
                  <c:pt idx="2">
                    <c:v>U3000</c:v>
                  </c:pt>
                  <c:pt idx="3">
                    <c:v>U4000</c:v>
                  </c:pt>
                  <c:pt idx="4">
                    <c:v>U5000</c:v>
                  </c:pt>
                </c:lvl>
              </c:multiLvlStrCache>
            </c:multiLvlStrRef>
          </c:cat>
          <c:val>
            <c:numRef>
              <c:f>N_Days!$I$8:$I$12</c:f>
              <c:numCache>
                <c:formatCode>General</c:formatCode>
                <c:ptCount val="5"/>
                <c:pt idx="0">
                  <c:v>43</c:v>
                </c:pt>
                <c:pt idx="1">
                  <c:v>37</c:v>
                </c:pt>
                <c:pt idx="2">
                  <c:v>66</c:v>
                </c:pt>
                <c:pt idx="3">
                  <c:v>42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2A-4B4F-8556-2491BEF70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7474703"/>
        <c:axId val="1517484271"/>
      </c:barChart>
      <c:catAx>
        <c:axId val="1517474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484271"/>
        <c:crosses val="autoZero"/>
        <c:auto val="1"/>
        <c:lblAlgn val="ctr"/>
        <c:lblOffset val="100"/>
        <c:noMultiLvlLbl val="0"/>
      </c:catAx>
      <c:valAx>
        <c:axId val="151748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474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Status!$L$7</c:f>
              <c:strCache>
                <c:ptCount val="1"/>
                <c:pt idx="0">
                  <c:v>freq.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Status!$K$8:$K$10</c:f>
              <c:strCache>
                <c:ptCount val="3"/>
                <c:pt idx="0">
                  <c:v>Censored©-1</c:v>
                </c:pt>
                <c:pt idx="1">
                  <c:v>Censored due to liver tx(CL)- 2</c:v>
                </c:pt>
                <c:pt idx="2">
                  <c:v>Death(D)- 3</c:v>
                </c:pt>
              </c:strCache>
            </c:strRef>
          </c:cat>
          <c:val>
            <c:numRef>
              <c:f>Status!$L$8:$L$10</c:f>
              <c:numCache>
                <c:formatCode>General</c:formatCode>
                <c:ptCount val="3"/>
                <c:pt idx="0">
                  <c:v>92</c:v>
                </c:pt>
                <c:pt idx="1">
                  <c:v>7</c:v>
                </c:pt>
                <c:pt idx="2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CF-46BD-9E54-9CA6DFE38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5320304"/>
        <c:axId val="1375317392"/>
      </c:barChart>
      <c:catAx>
        <c:axId val="137532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317392"/>
        <c:crosses val="autoZero"/>
        <c:auto val="1"/>
        <c:lblAlgn val="ctr"/>
        <c:lblOffset val="100"/>
        <c:noMultiLvlLbl val="0"/>
      </c:catAx>
      <c:valAx>
        <c:axId val="137531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320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Drug.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Drug!$H$6</c:f>
              <c:strCache>
                <c:ptCount val="1"/>
                <c:pt idx="0">
                  <c:v>Freq.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Drug!$G$7:$G$8</c:f>
              <c:strCache>
                <c:ptCount val="2"/>
                <c:pt idx="0">
                  <c:v>1- D-penicillamine</c:v>
                </c:pt>
                <c:pt idx="1">
                  <c:v>2- Placebo</c:v>
                </c:pt>
              </c:strCache>
            </c:strRef>
          </c:cat>
          <c:val>
            <c:numRef>
              <c:f>Drug!$H$7:$H$8</c:f>
              <c:numCache>
                <c:formatCode>General</c:formatCode>
                <c:ptCount val="2"/>
                <c:pt idx="0">
                  <c:v>105</c:v>
                </c:pt>
                <c:pt idx="1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84-45FE-A704-415BF2701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69438144"/>
        <c:axId val="1369438976"/>
      </c:barChart>
      <c:catAx>
        <c:axId val="136943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438976"/>
        <c:crosses val="autoZero"/>
        <c:auto val="1"/>
        <c:lblAlgn val="ctr"/>
        <c:lblOffset val="100"/>
        <c:noMultiLvlLbl val="0"/>
      </c:catAx>
      <c:valAx>
        <c:axId val="136943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438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Age!$I$7</c:f>
              <c:strCache>
                <c:ptCount val="1"/>
                <c:pt idx="0">
                  <c:v>freq.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Age!$H$8:$H$10</c:f>
              <c:strCache>
                <c:ptCount val="3"/>
                <c:pt idx="0">
                  <c:v>20- 40</c:v>
                </c:pt>
                <c:pt idx="1">
                  <c:v>41 - 60</c:v>
                </c:pt>
                <c:pt idx="2">
                  <c:v>61- 80</c:v>
                </c:pt>
              </c:strCache>
            </c:strRef>
          </c:cat>
          <c:val>
            <c:numRef>
              <c:f>Age!$I$8:$I$11</c:f>
              <c:numCache>
                <c:formatCode>General</c:formatCode>
                <c:ptCount val="4"/>
                <c:pt idx="0">
                  <c:v>33</c:v>
                </c:pt>
                <c:pt idx="1">
                  <c:v>139</c:v>
                </c:pt>
                <c:pt idx="2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2D-410A-824C-B29CB35950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65823360"/>
        <c:axId val="1765805888"/>
      </c:barChart>
      <c:catAx>
        <c:axId val="176582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805888"/>
        <c:crosses val="autoZero"/>
        <c:auto val="1"/>
        <c:lblAlgn val="ctr"/>
        <c:lblOffset val="100"/>
        <c:noMultiLvlLbl val="0"/>
      </c:catAx>
      <c:valAx>
        <c:axId val="176580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82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Sex!$H$7:$H$8</c:f>
              <c:strCache>
                <c:ptCount val="2"/>
                <c:pt idx="0">
                  <c:v>1- Female</c:v>
                </c:pt>
                <c:pt idx="1">
                  <c:v>2- Male</c:v>
                </c:pt>
              </c:strCache>
            </c:strRef>
          </c:cat>
          <c:val>
            <c:numRef>
              <c:f>Sex!$I$7:$I$8</c:f>
              <c:numCache>
                <c:formatCode>General</c:formatCode>
                <c:ptCount val="2"/>
                <c:pt idx="0">
                  <c:v>181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EB-483F-8BE3-A7725D324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4328607"/>
        <c:axId val="394341919"/>
      </c:barChart>
      <c:catAx>
        <c:axId val="394328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341919"/>
        <c:crosses val="autoZero"/>
        <c:auto val="1"/>
        <c:lblAlgn val="ctr"/>
        <c:lblOffset val="100"/>
        <c:noMultiLvlLbl val="0"/>
      </c:catAx>
      <c:valAx>
        <c:axId val="39434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328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Sex!$I$6</c:f>
              <c:strCache>
                <c:ptCount val="1"/>
                <c:pt idx="0">
                  <c:v>Freq.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2BB-4959-A7CA-346B654A1D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2BB-4959-A7CA-346B654A1D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Sex!$H$7:$H$8</c:f>
              <c:strCache>
                <c:ptCount val="2"/>
                <c:pt idx="0">
                  <c:v>1- Female</c:v>
                </c:pt>
                <c:pt idx="1">
                  <c:v>2- Male</c:v>
                </c:pt>
              </c:strCache>
            </c:strRef>
          </c:cat>
          <c:val>
            <c:numRef>
              <c:f>Sex!$I$7:$I$8</c:f>
              <c:numCache>
                <c:formatCode>General</c:formatCode>
                <c:ptCount val="2"/>
                <c:pt idx="0">
                  <c:v>181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B4-461E-AB0D-5428FED8D60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80314960629919"/>
          <c:y val="0.11615740740740743"/>
          <c:w val="0.89019685039370078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Ascites!$H$6:$H$7</c:f>
              <c:strCache>
                <c:ptCount val="2"/>
                <c:pt idx="0">
                  <c:v>Frequency diagram</c:v>
                </c:pt>
                <c:pt idx="1">
                  <c:v>Freq.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Ascites!$G$8:$G$9</c:f>
              <c:strCache>
                <c:ptCount val="2"/>
                <c:pt idx="0">
                  <c:v>1- No</c:v>
                </c:pt>
                <c:pt idx="1">
                  <c:v>2 - Yes</c:v>
                </c:pt>
              </c:strCache>
            </c:strRef>
          </c:cat>
          <c:val>
            <c:numRef>
              <c:f>Ascites!$H$8:$H$9</c:f>
              <c:numCache>
                <c:formatCode>General</c:formatCode>
                <c:ptCount val="2"/>
                <c:pt idx="0">
                  <c:v>192</c:v>
                </c:pt>
                <c:pt idx="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2D-4752-ACC6-5E7803DD01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37652543"/>
        <c:axId val="437657535"/>
      </c:barChart>
      <c:catAx>
        <c:axId val="43765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657535"/>
        <c:crosses val="autoZero"/>
        <c:auto val="1"/>
        <c:lblAlgn val="ctr"/>
        <c:lblOffset val="100"/>
        <c:noMultiLvlLbl val="0"/>
      </c:catAx>
      <c:valAx>
        <c:axId val="43765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652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Hepatomegaly!$I$5:$I$6</c:f>
              <c:strCache>
                <c:ptCount val="2"/>
                <c:pt idx="0">
                  <c:v>Frequncy Diaagram</c:v>
                </c:pt>
                <c:pt idx="1">
                  <c:v>Freq.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Hepatomegaly!$H$7:$H$8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Hepatomegaly!$I$7:$I$8</c:f>
              <c:numCache>
                <c:formatCode>General</c:formatCode>
                <c:ptCount val="2"/>
                <c:pt idx="0">
                  <c:v>103</c:v>
                </c:pt>
                <c:pt idx="1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FE-4D67-A152-34BB018D9E7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953110464"/>
        <c:axId val="953111712"/>
        <c:axId val="1731229520"/>
      </c:bar3DChart>
      <c:catAx>
        <c:axId val="95311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111712"/>
        <c:crosses val="autoZero"/>
        <c:auto val="1"/>
        <c:lblAlgn val="ctr"/>
        <c:lblOffset val="100"/>
        <c:noMultiLvlLbl val="0"/>
      </c:catAx>
      <c:valAx>
        <c:axId val="95311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110464"/>
        <c:crosses val="autoZero"/>
        <c:crossBetween val="between"/>
      </c:valAx>
      <c:serAx>
        <c:axId val="173122952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111712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Hepatomegaly!$I$5:$I$6</c:f>
              <c:strCache>
                <c:ptCount val="2"/>
                <c:pt idx="0">
                  <c:v>Frequncy Diaagram</c:v>
                </c:pt>
                <c:pt idx="1">
                  <c:v>Freq.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611-44FC-9C4C-ADC30184AC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611-44FC-9C4C-ADC30184AC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Hepatomegaly!$H$7:$H$8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Hepatomegaly!$I$7:$I$8</c:f>
              <c:numCache>
                <c:formatCode>General</c:formatCode>
                <c:ptCount val="2"/>
                <c:pt idx="0">
                  <c:v>103</c:v>
                </c:pt>
                <c:pt idx="1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93-48C8-834B-AB77D42AB1A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Spiders!$H$7</c:f>
              <c:strCache>
                <c:ptCount val="1"/>
                <c:pt idx="0">
                  <c:v>1- 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Spiders!$I$5:$I$6</c:f>
              <c:strCache>
                <c:ptCount val="2"/>
                <c:pt idx="1">
                  <c:v>Freq.</c:v>
                </c:pt>
              </c:strCache>
            </c:strRef>
          </c:cat>
          <c:val>
            <c:numRef>
              <c:f>Spiders!$I$7</c:f>
              <c:numCache>
                <c:formatCode>General</c:formatCode>
                <c:ptCount val="1"/>
                <c:pt idx="0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EE-4890-8AD5-26C0515F067D}"/>
            </c:ext>
          </c:extLst>
        </c:ser>
        <c:ser>
          <c:idx val="1"/>
          <c:order val="1"/>
          <c:tx>
            <c:strRef>
              <c:f>Spiders!$H$8</c:f>
              <c:strCache>
                <c:ptCount val="1"/>
                <c:pt idx="0">
                  <c:v>2- 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Spiders!$I$5:$I$6</c:f>
              <c:strCache>
                <c:ptCount val="2"/>
                <c:pt idx="1">
                  <c:v>Freq.</c:v>
                </c:pt>
              </c:strCache>
            </c:strRef>
          </c:cat>
          <c:val>
            <c:numRef>
              <c:f>Spiders!$I$8</c:f>
              <c:numCache>
                <c:formatCode>General</c:formatCode>
                <c:ptCount val="1"/>
                <c:pt idx="0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EE-4890-8AD5-26C0515F06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79996272"/>
        <c:axId val="1679997520"/>
      </c:barChart>
      <c:catAx>
        <c:axId val="167999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997520"/>
        <c:crosses val="autoZero"/>
        <c:auto val="1"/>
        <c:lblAlgn val="ctr"/>
        <c:lblOffset val="100"/>
        <c:noMultiLvlLbl val="0"/>
      </c:catAx>
      <c:valAx>
        <c:axId val="167999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99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Spiders!$I$5:$I$6</c:f>
              <c:strCache>
                <c:ptCount val="2"/>
                <c:pt idx="0">
                  <c:v>Frequncy Diaagram</c:v>
                </c:pt>
                <c:pt idx="1">
                  <c:v>Freq.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02F-4870-9A47-1FCE5661840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02F-4870-9A47-1FCE566184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Spiders!$H$7:$H$8</c:f>
              <c:strCache>
                <c:ptCount val="2"/>
                <c:pt idx="0">
                  <c:v>1- Female</c:v>
                </c:pt>
                <c:pt idx="1">
                  <c:v>2- Male</c:v>
                </c:pt>
              </c:strCache>
            </c:strRef>
          </c:cat>
          <c:val>
            <c:numRef>
              <c:f>Spiders!$I$7:$I$8</c:f>
              <c:numCache>
                <c:formatCode>General</c:formatCode>
                <c:ptCount val="2"/>
                <c:pt idx="0">
                  <c:v>148</c:v>
                </c:pt>
                <c:pt idx="1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17-4800-A9BE-37692FF8473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Edema!$H$5:$H$6</c:f>
              <c:strCache>
                <c:ptCount val="2"/>
                <c:pt idx="0">
                  <c:v>Frequncy Diaagram</c:v>
                </c:pt>
                <c:pt idx="1">
                  <c:v>Freq.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Edema!$G$7:$G$9</c:f>
              <c:strCache>
                <c:ptCount val="3"/>
                <c:pt idx="0">
                  <c:v>1- No Edema, no diuretic</c:v>
                </c:pt>
                <c:pt idx="1">
                  <c:v>2- Edema present without diuretic</c:v>
                </c:pt>
                <c:pt idx="2">
                  <c:v>3- Edema present despite diuretic</c:v>
                </c:pt>
              </c:strCache>
            </c:strRef>
          </c:cat>
          <c:val>
            <c:numRef>
              <c:f>Edema!$H$7:$H$9</c:f>
              <c:numCache>
                <c:formatCode>General</c:formatCode>
                <c:ptCount val="3"/>
                <c:pt idx="0">
                  <c:v>170</c:v>
                </c:pt>
                <c:pt idx="1">
                  <c:v>22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7D-4CE8-9DE4-53F848A7C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08034272"/>
        <c:axId val="1108037184"/>
      </c:barChart>
      <c:catAx>
        <c:axId val="110803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037184"/>
        <c:crosses val="autoZero"/>
        <c:auto val="1"/>
        <c:lblAlgn val="ctr"/>
        <c:lblOffset val="100"/>
        <c:noMultiLvlLbl val="0"/>
      </c:catAx>
      <c:valAx>
        <c:axId val="110803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034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Edema!$H$5:$H$6</c:f>
              <c:strCache>
                <c:ptCount val="2"/>
                <c:pt idx="0">
                  <c:v>Frequncy Diaagram</c:v>
                </c:pt>
                <c:pt idx="1">
                  <c:v>Freq.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F3E-43BB-ACC4-1396ED07B46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F3E-43BB-ACC4-1396ED07B46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F3E-43BB-ACC4-1396ED07B46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Edema!$G$7:$G$9</c:f>
              <c:strCache>
                <c:ptCount val="3"/>
                <c:pt idx="0">
                  <c:v>1- No Edema, no diuretic</c:v>
                </c:pt>
                <c:pt idx="1">
                  <c:v>2- Edema present without diuretic</c:v>
                </c:pt>
                <c:pt idx="2">
                  <c:v>3- Edema present despite diuretic</c:v>
                </c:pt>
              </c:strCache>
            </c:strRef>
          </c:cat>
          <c:val>
            <c:numRef>
              <c:f>Edema!$H$7:$H$9</c:f>
              <c:numCache>
                <c:formatCode>General</c:formatCode>
                <c:ptCount val="3"/>
                <c:pt idx="0">
                  <c:v>170</c:v>
                </c:pt>
                <c:pt idx="1">
                  <c:v>22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C3-4B68-83FB-6A8BF5DF472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Bilirubin!$I$8:$I$9</c:f>
              <c:strCache>
                <c:ptCount val="2"/>
                <c:pt idx="0">
                  <c:v>Group</c:v>
                </c:pt>
                <c:pt idx="1">
                  <c:v>freq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Bilirubin!$G$10:$H$13</c:f>
              <c:multiLvlStrCache>
                <c:ptCount val="4"/>
                <c:lvl>
                  <c:pt idx="0">
                    <c:v>Low</c:v>
                  </c:pt>
                  <c:pt idx="1">
                    <c:v>Normal</c:v>
                  </c:pt>
                  <c:pt idx="2">
                    <c:v>High</c:v>
                  </c:pt>
                  <c:pt idx="3">
                    <c:v>Very High</c:v>
                  </c:pt>
                </c:lvl>
                <c:lvl>
                  <c:pt idx="0">
                    <c:v>&lt;0.3</c:v>
                  </c:pt>
                  <c:pt idx="1">
                    <c:v>0.3-1.9</c:v>
                  </c:pt>
                  <c:pt idx="2">
                    <c:v>2.0 - 3.0</c:v>
                  </c:pt>
                  <c:pt idx="3">
                    <c:v>&gt;3.0</c:v>
                  </c:pt>
                </c:lvl>
              </c:multiLvlStrCache>
            </c:multiLvlStrRef>
          </c:cat>
          <c:val>
            <c:numRef>
              <c:f>Bilirubin!$I$10:$I$13</c:f>
              <c:numCache>
                <c:formatCode>General</c:formatCode>
                <c:ptCount val="4"/>
                <c:pt idx="0">
                  <c:v>0</c:v>
                </c:pt>
                <c:pt idx="1">
                  <c:v>130</c:v>
                </c:pt>
                <c:pt idx="2">
                  <c:v>23</c:v>
                </c:pt>
                <c:pt idx="3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28-44A9-9EB6-AFD21B19C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920112"/>
        <c:axId val="41920944"/>
      </c:barChart>
      <c:catAx>
        <c:axId val="4192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20944"/>
        <c:crosses val="autoZero"/>
        <c:auto val="1"/>
        <c:lblAlgn val="ctr"/>
        <c:lblOffset val="100"/>
        <c:noMultiLvlLbl val="0"/>
      </c:catAx>
      <c:valAx>
        <c:axId val="4192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2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Bilirubin!$I$8:$I$9</c:f>
              <c:strCache>
                <c:ptCount val="2"/>
                <c:pt idx="0">
                  <c:v>Group</c:v>
                </c:pt>
                <c:pt idx="1">
                  <c:v>freq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DE5-4D08-ADD5-6C48B931CD3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DE5-4D08-ADD5-6C48B931CD3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DE5-4D08-ADD5-6C48B931CD3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DE5-4D08-ADD5-6C48B931CD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Bilirubin!$G$10:$H$13</c:f>
              <c:multiLvlStrCache>
                <c:ptCount val="4"/>
                <c:lvl>
                  <c:pt idx="0">
                    <c:v>Low</c:v>
                  </c:pt>
                  <c:pt idx="1">
                    <c:v>Normal</c:v>
                  </c:pt>
                  <c:pt idx="2">
                    <c:v>High</c:v>
                  </c:pt>
                  <c:pt idx="3">
                    <c:v>Very High</c:v>
                  </c:pt>
                </c:lvl>
                <c:lvl>
                  <c:pt idx="0">
                    <c:v>&lt;0.3</c:v>
                  </c:pt>
                  <c:pt idx="1">
                    <c:v>0.3-1.9</c:v>
                  </c:pt>
                  <c:pt idx="2">
                    <c:v>2.0 - 3.0</c:v>
                  </c:pt>
                  <c:pt idx="3">
                    <c:v>&gt;3.0</c:v>
                  </c:pt>
                </c:lvl>
              </c:multiLvlStrCache>
            </c:multiLvlStrRef>
          </c:cat>
          <c:val>
            <c:numRef>
              <c:f>Bilirubin!$I$10:$I$13</c:f>
              <c:numCache>
                <c:formatCode>General</c:formatCode>
                <c:ptCount val="4"/>
                <c:pt idx="0">
                  <c:v>0</c:v>
                </c:pt>
                <c:pt idx="1">
                  <c:v>130</c:v>
                </c:pt>
                <c:pt idx="2">
                  <c:v>23</c:v>
                </c:pt>
                <c:pt idx="3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9C-4294-A925-5A962C862C1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yVal>
            <c:numRef>
              <c:f>Bilirubin!$C$3:$C$211</c:f>
              <c:numCache>
                <c:formatCode>General</c:formatCode>
                <c:ptCount val="209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0.7</c:v>
                </c:pt>
                <c:pt idx="36">
                  <c:v>0.7</c:v>
                </c:pt>
                <c:pt idx="37">
                  <c:v>0.7</c:v>
                </c:pt>
                <c:pt idx="38">
                  <c:v>0.7</c:v>
                </c:pt>
                <c:pt idx="39">
                  <c:v>0.7</c:v>
                </c:pt>
                <c:pt idx="40">
                  <c:v>0.7</c:v>
                </c:pt>
                <c:pt idx="41">
                  <c:v>0.7</c:v>
                </c:pt>
                <c:pt idx="42">
                  <c:v>0.7</c:v>
                </c:pt>
                <c:pt idx="43">
                  <c:v>0.7</c:v>
                </c:pt>
                <c:pt idx="44">
                  <c:v>0.7</c:v>
                </c:pt>
                <c:pt idx="45">
                  <c:v>0.7</c:v>
                </c:pt>
                <c:pt idx="46">
                  <c:v>0.7</c:v>
                </c:pt>
                <c:pt idx="47">
                  <c:v>0.7</c:v>
                </c:pt>
                <c:pt idx="48">
                  <c:v>0.7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0.9</c:v>
                </c:pt>
                <c:pt idx="63">
                  <c:v>0.9</c:v>
                </c:pt>
                <c:pt idx="64">
                  <c:v>0.9</c:v>
                </c:pt>
                <c:pt idx="65">
                  <c:v>0.9</c:v>
                </c:pt>
                <c:pt idx="66">
                  <c:v>0.9</c:v>
                </c:pt>
                <c:pt idx="67">
                  <c:v>0.9</c:v>
                </c:pt>
                <c:pt idx="68">
                  <c:v>0.9</c:v>
                </c:pt>
                <c:pt idx="69">
                  <c:v>0.9</c:v>
                </c:pt>
                <c:pt idx="70">
                  <c:v>0.9</c:v>
                </c:pt>
                <c:pt idx="71">
                  <c:v>0.9</c:v>
                </c:pt>
                <c:pt idx="72">
                  <c:v>0.9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1.1000000000000001</c:v>
                </c:pt>
                <c:pt idx="79">
                  <c:v>1.1000000000000001</c:v>
                </c:pt>
                <c:pt idx="80">
                  <c:v>1.1000000000000001</c:v>
                </c:pt>
                <c:pt idx="81">
                  <c:v>1.1000000000000001</c:v>
                </c:pt>
                <c:pt idx="82">
                  <c:v>1.1000000000000001</c:v>
                </c:pt>
                <c:pt idx="83">
                  <c:v>1.1000000000000001</c:v>
                </c:pt>
                <c:pt idx="84">
                  <c:v>1.1000000000000001</c:v>
                </c:pt>
                <c:pt idx="85">
                  <c:v>1.1000000000000001</c:v>
                </c:pt>
                <c:pt idx="86">
                  <c:v>1.1000000000000001</c:v>
                </c:pt>
                <c:pt idx="87">
                  <c:v>1.1000000000000001</c:v>
                </c:pt>
                <c:pt idx="88">
                  <c:v>1.1000000000000001</c:v>
                </c:pt>
                <c:pt idx="89">
                  <c:v>1.1000000000000001</c:v>
                </c:pt>
                <c:pt idx="90">
                  <c:v>1.2</c:v>
                </c:pt>
                <c:pt idx="91">
                  <c:v>1.2</c:v>
                </c:pt>
                <c:pt idx="92">
                  <c:v>1.2</c:v>
                </c:pt>
                <c:pt idx="93">
                  <c:v>1.2</c:v>
                </c:pt>
                <c:pt idx="94">
                  <c:v>1.2</c:v>
                </c:pt>
                <c:pt idx="95">
                  <c:v>1.2</c:v>
                </c:pt>
                <c:pt idx="96">
                  <c:v>1.2</c:v>
                </c:pt>
                <c:pt idx="97">
                  <c:v>1.2</c:v>
                </c:pt>
                <c:pt idx="98">
                  <c:v>1.3</c:v>
                </c:pt>
                <c:pt idx="99">
                  <c:v>1.3</c:v>
                </c:pt>
                <c:pt idx="100">
                  <c:v>1.3</c:v>
                </c:pt>
                <c:pt idx="101">
                  <c:v>1.3</c:v>
                </c:pt>
                <c:pt idx="102">
                  <c:v>1.3</c:v>
                </c:pt>
                <c:pt idx="103">
                  <c:v>1.3</c:v>
                </c:pt>
                <c:pt idx="104">
                  <c:v>1.3</c:v>
                </c:pt>
                <c:pt idx="105">
                  <c:v>1.3</c:v>
                </c:pt>
                <c:pt idx="106">
                  <c:v>1.3</c:v>
                </c:pt>
                <c:pt idx="107">
                  <c:v>1.3</c:v>
                </c:pt>
                <c:pt idx="108">
                  <c:v>1.4</c:v>
                </c:pt>
                <c:pt idx="109">
                  <c:v>1.4</c:v>
                </c:pt>
                <c:pt idx="110">
                  <c:v>1.4</c:v>
                </c:pt>
                <c:pt idx="111">
                  <c:v>1.4</c:v>
                </c:pt>
                <c:pt idx="112">
                  <c:v>1.4</c:v>
                </c:pt>
                <c:pt idx="113">
                  <c:v>1.5</c:v>
                </c:pt>
                <c:pt idx="114">
                  <c:v>1.6</c:v>
                </c:pt>
                <c:pt idx="115">
                  <c:v>1.6</c:v>
                </c:pt>
                <c:pt idx="116">
                  <c:v>1.8</c:v>
                </c:pt>
                <c:pt idx="117">
                  <c:v>1.8</c:v>
                </c:pt>
                <c:pt idx="118">
                  <c:v>1.8</c:v>
                </c:pt>
                <c:pt idx="119">
                  <c:v>1.8</c:v>
                </c:pt>
                <c:pt idx="120">
                  <c:v>1.8</c:v>
                </c:pt>
                <c:pt idx="121">
                  <c:v>1.9</c:v>
                </c:pt>
                <c:pt idx="122">
                  <c:v>1.9</c:v>
                </c:pt>
                <c:pt idx="123">
                  <c:v>1.9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2.1</c:v>
                </c:pt>
                <c:pt idx="129">
                  <c:v>2.1</c:v>
                </c:pt>
                <c:pt idx="130">
                  <c:v>2.1</c:v>
                </c:pt>
                <c:pt idx="131">
                  <c:v>2.1</c:v>
                </c:pt>
                <c:pt idx="132">
                  <c:v>2.1</c:v>
                </c:pt>
                <c:pt idx="133">
                  <c:v>2.2999999999999998</c:v>
                </c:pt>
                <c:pt idx="134">
                  <c:v>2.2999999999999998</c:v>
                </c:pt>
                <c:pt idx="135">
                  <c:v>2.2999999999999998</c:v>
                </c:pt>
                <c:pt idx="136">
                  <c:v>2.2999999999999998</c:v>
                </c:pt>
                <c:pt idx="137">
                  <c:v>2.4</c:v>
                </c:pt>
                <c:pt idx="138">
                  <c:v>2.5</c:v>
                </c:pt>
                <c:pt idx="139">
                  <c:v>2.5</c:v>
                </c:pt>
                <c:pt idx="140">
                  <c:v>2.6</c:v>
                </c:pt>
                <c:pt idx="141">
                  <c:v>2.7</c:v>
                </c:pt>
                <c:pt idx="142">
                  <c:v>2.8</c:v>
                </c:pt>
                <c:pt idx="143">
                  <c:v>2.9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3.2</c:v>
                </c:pt>
                <c:pt idx="148">
                  <c:v>3.2</c:v>
                </c:pt>
                <c:pt idx="149">
                  <c:v>3.2</c:v>
                </c:pt>
                <c:pt idx="150">
                  <c:v>3.2</c:v>
                </c:pt>
                <c:pt idx="151">
                  <c:v>3.2</c:v>
                </c:pt>
                <c:pt idx="152">
                  <c:v>3.3</c:v>
                </c:pt>
                <c:pt idx="153">
                  <c:v>3.3</c:v>
                </c:pt>
                <c:pt idx="154">
                  <c:v>3.4</c:v>
                </c:pt>
                <c:pt idx="155">
                  <c:v>3.4</c:v>
                </c:pt>
                <c:pt idx="156">
                  <c:v>3.4</c:v>
                </c:pt>
                <c:pt idx="157">
                  <c:v>3.5</c:v>
                </c:pt>
                <c:pt idx="158">
                  <c:v>3.5</c:v>
                </c:pt>
                <c:pt idx="159">
                  <c:v>3.6</c:v>
                </c:pt>
                <c:pt idx="160">
                  <c:v>3.6</c:v>
                </c:pt>
                <c:pt idx="161">
                  <c:v>3.8</c:v>
                </c:pt>
                <c:pt idx="162">
                  <c:v>3.9</c:v>
                </c:pt>
                <c:pt idx="163">
                  <c:v>4</c:v>
                </c:pt>
                <c:pt idx="164">
                  <c:v>4.5</c:v>
                </c:pt>
                <c:pt idx="165">
                  <c:v>4.5</c:v>
                </c:pt>
                <c:pt idx="166">
                  <c:v>4.7</c:v>
                </c:pt>
                <c:pt idx="167">
                  <c:v>4.7</c:v>
                </c:pt>
                <c:pt idx="168">
                  <c:v>5</c:v>
                </c:pt>
                <c:pt idx="169">
                  <c:v>5</c:v>
                </c:pt>
                <c:pt idx="170">
                  <c:v>5.0999999999999996</c:v>
                </c:pt>
                <c:pt idx="171">
                  <c:v>5.0999999999999996</c:v>
                </c:pt>
                <c:pt idx="172">
                  <c:v>5.2</c:v>
                </c:pt>
                <c:pt idx="173">
                  <c:v>5.5</c:v>
                </c:pt>
                <c:pt idx="174">
                  <c:v>5.7</c:v>
                </c:pt>
                <c:pt idx="175">
                  <c:v>5.7</c:v>
                </c:pt>
                <c:pt idx="176">
                  <c:v>5.9</c:v>
                </c:pt>
                <c:pt idx="177">
                  <c:v>6</c:v>
                </c:pt>
                <c:pt idx="178">
                  <c:v>6.3</c:v>
                </c:pt>
                <c:pt idx="179">
                  <c:v>6.5</c:v>
                </c:pt>
                <c:pt idx="180">
                  <c:v>6.6</c:v>
                </c:pt>
                <c:pt idx="181">
                  <c:v>6.7</c:v>
                </c:pt>
                <c:pt idx="182">
                  <c:v>6.8</c:v>
                </c:pt>
                <c:pt idx="183">
                  <c:v>7.1</c:v>
                </c:pt>
                <c:pt idx="184">
                  <c:v>7.2</c:v>
                </c:pt>
                <c:pt idx="185">
                  <c:v>7.2</c:v>
                </c:pt>
                <c:pt idx="186">
                  <c:v>7.3</c:v>
                </c:pt>
                <c:pt idx="187">
                  <c:v>8.4</c:v>
                </c:pt>
                <c:pt idx="188">
                  <c:v>8.5</c:v>
                </c:pt>
                <c:pt idx="189">
                  <c:v>11</c:v>
                </c:pt>
                <c:pt idx="190">
                  <c:v>11.4</c:v>
                </c:pt>
                <c:pt idx="191">
                  <c:v>11.4</c:v>
                </c:pt>
                <c:pt idx="192">
                  <c:v>12.2</c:v>
                </c:pt>
                <c:pt idx="193">
                  <c:v>12.6</c:v>
                </c:pt>
                <c:pt idx="194">
                  <c:v>14</c:v>
                </c:pt>
                <c:pt idx="195">
                  <c:v>14.1</c:v>
                </c:pt>
                <c:pt idx="196">
                  <c:v>14.4</c:v>
                </c:pt>
                <c:pt idx="197">
                  <c:v>14.5</c:v>
                </c:pt>
                <c:pt idx="198">
                  <c:v>16.2</c:v>
                </c:pt>
                <c:pt idx="199">
                  <c:v>17.100000000000001</c:v>
                </c:pt>
                <c:pt idx="200">
                  <c:v>17.2</c:v>
                </c:pt>
                <c:pt idx="201">
                  <c:v>17.399999999999999</c:v>
                </c:pt>
                <c:pt idx="202">
                  <c:v>17.399999999999999</c:v>
                </c:pt>
                <c:pt idx="203">
                  <c:v>17.399999999999999</c:v>
                </c:pt>
                <c:pt idx="204">
                  <c:v>20</c:v>
                </c:pt>
                <c:pt idx="205">
                  <c:v>21.6</c:v>
                </c:pt>
                <c:pt idx="206">
                  <c:v>22.5</c:v>
                </c:pt>
                <c:pt idx="207">
                  <c:v>25.5</c:v>
                </c:pt>
                <c:pt idx="208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DC-4360-AA49-80D96D3BF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7204063"/>
        <c:axId val="907209471"/>
      </c:scatterChart>
      <c:valAx>
        <c:axId val="907204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209471"/>
        <c:crosses val="autoZero"/>
        <c:crossBetween val="midCat"/>
      </c:valAx>
      <c:valAx>
        <c:axId val="9072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204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Cholesterol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Cholesterol!$G$10:$H$15</c:f>
              <c:multiLvlStrCache>
                <c:ptCount val="6"/>
                <c:lvl>
                  <c:pt idx="0">
                    <c:v>Low</c:v>
                  </c:pt>
                  <c:pt idx="1">
                    <c:v>Normal</c:v>
                  </c:pt>
                  <c:pt idx="2">
                    <c:v>Boarderline</c:v>
                  </c:pt>
                  <c:pt idx="3">
                    <c:v> High</c:v>
                  </c:pt>
                  <c:pt idx="4">
                    <c:v>Very high</c:v>
                  </c:pt>
                  <c:pt idx="5">
                    <c:v>At risk</c:v>
                  </c:pt>
                </c:lvl>
                <c:lvl>
                  <c:pt idx="0">
                    <c:v>&lt;150</c:v>
                  </c:pt>
                  <c:pt idx="1">
                    <c:v>150-199</c:v>
                  </c:pt>
                  <c:pt idx="2">
                    <c:v>200-239</c:v>
                  </c:pt>
                  <c:pt idx="3">
                    <c:v>240-300</c:v>
                  </c:pt>
                  <c:pt idx="4">
                    <c:v>301- 400</c:v>
                  </c:pt>
                  <c:pt idx="5">
                    <c:v>&gt;400</c:v>
                  </c:pt>
                </c:lvl>
              </c:multiLvlStrCache>
            </c:multiLvlStrRef>
          </c:cat>
          <c:val>
            <c:numRef>
              <c:f>Cholesterol!$I$10:$I$15</c:f>
              <c:numCache>
                <c:formatCode>General</c:formatCode>
                <c:ptCount val="6"/>
                <c:pt idx="0">
                  <c:v>3</c:v>
                </c:pt>
                <c:pt idx="1">
                  <c:v>11</c:v>
                </c:pt>
                <c:pt idx="2">
                  <c:v>25</c:v>
                </c:pt>
                <c:pt idx="3">
                  <c:v>52</c:v>
                </c:pt>
                <c:pt idx="4">
                  <c:v>44</c:v>
                </c:pt>
                <c:pt idx="5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A0-4CA7-8183-C55F4E0E8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4757095"/>
        <c:axId val="94311063"/>
      </c:barChart>
      <c:catAx>
        <c:axId val="274757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11063"/>
        <c:crosses val="autoZero"/>
        <c:auto val="1"/>
        <c:lblAlgn val="ctr"/>
        <c:lblOffset val="100"/>
        <c:noMultiLvlLbl val="0"/>
      </c:catAx>
      <c:valAx>
        <c:axId val="94311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757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Albumin!$G$10:$H$11</c:f>
              <c:multiLvlStrCache>
                <c:ptCount val="2"/>
                <c:lvl>
                  <c:pt idx="0">
                    <c:v>Low</c:v>
                  </c:pt>
                  <c:pt idx="1">
                    <c:v>Normal</c:v>
                  </c:pt>
                </c:lvl>
                <c:lvl>
                  <c:pt idx="0">
                    <c:v>&lt;3.4</c:v>
                  </c:pt>
                  <c:pt idx="1">
                    <c:v>3.4 - 5.4 </c:v>
                  </c:pt>
                </c:lvl>
              </c:multiLvlStrCache>
            </c:multiLvlStrRef>
          </c:cat>
          <c:val>
            <c:numRef>
              <c:f>Albumin!$I$10:$I$11</c:f>
              <c:numCache>
                <c:formatCode>General</c:formatCode>
                <c:ptCount val="2"/>
                <c:pt idx="0">
                  <c:v>63</c:v>
                </c:pt>
                <c:pt idx="1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BF-408F-936D-A3E3DA955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9933415"/>
        <c:axId val="63672215"/>
      </c:barChart>
      <c:catAx>
        <c:axId val="449933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72215"/>
        <c:crosses val="autoZero"/>
        <c:auto val="1"/>
        <c:lblAlgn val="ctr"/>
        <c:lblOffset val="100"/>
        <c:noMultiLvlLbl val="0"/>
      </c:catAx>
      <c:valAx>
        <c:axId val="63672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933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Copper!$G$10:$H$12</c:f>
              <c:multiLvlStrCache>
                <c:ptCount val="3"/>
                <c:lvl>
                  <c:pt idx="0">
                    <c:v>Low</c:v>
                  </c:pt>
                  <c:pt idx="1">
                    <c:v>Normal</c:v>
                  </c:pt>
                  <c:pt idx="2">
                    <c:v>high</c:v>
                  </c:pt>
                </c:lvl>
                <c:lvl>
                  <c:pt idx="0">
                    <c:v>&lt;10</c:v>
                  </c:pt>
                  <c:pt idx="1">
                    <c:v>10.0- 30.0</c:v>
                  </c:pt>
                  <c:pt idx="2">
                    <c:v>&gt;30</c:v>
                  </c:pt>
                </c:lvl>
              </c:multiLvlStrCache>
            </c:multiLvlStrRef>
          </c:cat>
          <c:val>
            <c:numRef>
              <c:f>Copper!$I$10:$I$12</c:f>
              <c:numCache>
                <c:formatCode>General</c:formatCode>
                <c:ptCount val="3"/>
                <c:pt idx="0">
                  <c:v>3</c:v>
                </c:pt>
                <c:pt idx="1">
                  <c:v>11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03-49B7-8F79-21B436FB2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8387303"/>
        <c:axId val="925677415"/>
      </c:barChart>
      <c:catAx>
        <c:axId val="788387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677415"/>
        <c:crosses val="autoZero"/>
        <c:auto val="1"/>
        <c:lblAlgn val="ctr"/>
        <c:lblOffset val="100"/>
        <c:noMultiLvlLbl val="0"/>
      </c:catAx>
      <c:valAx>
        <c:axId val="925677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387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Copper!$B$3:$B$211</c:f>
              <c:numCache>
                <c:formatCode>General</c:formatCode>
                <c:ptCount val="209"/>
                <c:pt idx="0">
                  <c:v>4</c:v>
                </c:pt>
                <c:pt idx="1">
                  <c:v>9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14</c:v>
                </c:pt>
                <c:pt idx="11">
                  <c:v>14</c:v>
                </c:pt>
                <c:pt idx="12">
                  <c:v>17</c:v>
                </c:pt>
                <c:pt idx="13">
                  <c:v>18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22</c:v>
                </c:pt>
                <c:pt idx="22">
                  <c:v>24</c:v>
                </c:pt>
                <c:pt idx="23">
                  <c:v>25</c:v>
                </c:pt>
                <c:pt idx="24">
                  <c:v>27</c:v>
                </c:pt>
                <c:pt idx="25">
                  <c:v>27</c:v>
                </c:pt>
                <c:pt idx="26">
                  <c:v>28</c:v>
                </c:pt>
                <c:pt idx="27">
                  <c:v>28</c:v>
                </c:pt>
                <c:pt idx="28">
                  <c:v>29</c:v>
                </c:pt>
                <c:pt idx="29">
                  <c:v>29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31</c:v>
                </c:pt>
                <c:pt idx="34">
                  <c:v>32</c:v>
                </c:pt>
                <c:pt idx="35">
                  <c:v>32</c:v>
                </c:pt>
                <c:pt idx="36">
                  <c:v>32</c:v>
                </c:pt>
                <c:pt idx="37">
                  <c:v>33</c:v>
                </c:pt>
                <c:pt idx="38">
                  <c:v>34</c:v>
                </c:pt>
                <c:pt idx="39">
                  <c:v>34</c:v>
                </c:pt>
                <c:pt idx="40">
                  <c:v>34</c:v>
                </c:pt>
                <c:pt idx="41">
                  <c:v>35</c:v>
                </c:pt>
                <c:pt idx="42">
                  <c:v>36</c:v>
                </c:pt>
                <c:pt idx="43">
                  <c:v>36</c:v>
                </c:pt>
                <c:pt idx="44">
                  <c:v>37</c:v>
                </c:pt>
                <c:pt idx="45">
                  <c:v>37</c:v>
                </c:pt>
                <c:pt idx="46">
                  <c:v>38</c:v>
                </c:pt>
                <c:pt idx="47">
                  <c:v>38</c:v>
                </c:pt>
                <c:pt idx="48">
                  <c:v>39</c:v>
                </c:pt>
                <c:pt idx="49">
                  <c:v>39</c:v>
                </c:pt>
                <c:pt idx="50">
                  <c:v>40</c:v>
                </c:pt>
                <c:pt idx="51">
                  <c:v>40</c:v>
                </c:pt>
                <c:pt idx="52">
                  <c:v>41</c:v>
                </c:pt>
                <c:pt idx="53">
                  <c:v>41</c:v>
                </c:pt>
                <c:pt idx="54">
                  <c:v>42</c:v>
                </c:pt>
                <c:pt idx="55">
                  <c:v>42</c:v>
                </c:pt>
                <c:pt idx="56">
                  <c:v>43</c:v>
                </c:pt>
                <c:pt idx="57">
                  <c:v>43</c:v>
                </c:pt>
                <c:pt idx="58">
                  <c:v>44</c:v>
                </c:pt>
                <c:pt idx="59">
                  <c:v>44</c:v>
                </c:pt>
                <c:pt idx="60">
                  <c:v>44</c:v>
                </c:pt>
                <c:pt idx="61">
                  <c:v>46</c:v>
                </c:pt>
                <c:pt idx="62">
                  <c:v>48</c:v>
                </c:pt>
                <c:pt idx="63">
                  <c:v>49</c:v>
                </c:pt>
                <c:pt idx="64">
                  <c:v>49</c:v>
                </c:pt>
                <c:pt idx="65">
                  <c:v>50</c:v>
                </c:pt>
                <c:pt idx="66">
                  <c:v>50</c:v>
                </c:pt>
                <c:pt idx="67">
                  <c:v>50</c:v>
                </c:pt>
                <c:pt idx="68">
                  <c:v>51</c:v>
                </c:pt>
                <c:pt idx="69">
                  <c:v>51</c:v>
                </c:pt>
                <c:pt idx="70">
                  <c:v>51</c:v>
                </c:pt>
                <c:pt idx="71">
                  <c:v>52</c:v>
                </c:pt>
                <c:pt idx="72">
                  <c:v>52</c:v>
                </c:pt>
                <c:pt idx="73">
                  <c:v>52</c:v>
                </c:pt>
                <c:pt idx="74">
                  <c:v>52</c:v>
                </c:pt>
                <c:pt idx="75">
                  <c:v>53</c:v>
                </c:pt>
                <c:pt idx="76">
                  <c:v>53</c:v>
                </c:pt>
                <c:pt idx="77">
                  <c:v>54</c:v>
                </c:pt>
                <c:pt idx="78">
                  <c:v>54</c:v>
                </c:pt>
                <c:pt idx="79">
                  <c:v>57</c:v>
                </c:pt>
                <c:pt idx="80">
                  <c:v>57</c:v>
                </c:pt>
                <c:pt idx="81">
                  <c:v>57</c:v>
                </c:pt>
                <c:pt idx="82">
                  <c:v>57</c:v>
                </c:pt>
                <c:pt idx="83">
                  <c:v>58</c:v>
                </c:pt>
                <c:pt idx="84">
                  <c:v>58</c:v>
                </c:pt>
                <c:pt idx="85">
                  <c:v>58</c:v>
                </c:pt>
                <c:pt idx="86">
                  <c:v>58</c:v>
                </c:pt>
                <c:pt idx="87">
                  <c:v>58</c:v>
                </c:pt>
                <c:pt idx="88">
                  <c:v>58</c:v>
                </c:pt>
                <c:pt idx="89">
                  <c:v>59</c:v>
                </c:pt>
                <c:pt idx="90">
                  <c:v>60</c:v>
                </c:pt>
                <c:pt idx="91">
                  <c:v>62</c:v>
                </c:pt>
                <c:pt idx="92">
                  <c:v>63</c:v>
                </c:pt>
                <c:pt idx="93">
                  <c:v>63</c:v>
                </c:pt>
                <c:pt idx="94">
                  <c:v>64</c:v>
                </c:pt>
                <c:pt idx="95">
                  <c:v>65</c:v>
                </c:pt>
                <c:pt idx="96">
                  <c:v>65</c:v>
                </c:pt>
                <c:pt idx="97">
                  <c:v>65</c:v>
                </c:pt>
                <c:pt idx="98">
                  <c:v>67</c:v>
                </c:pt>
                <c:pt idx="99">
                  <c:v>67</c:v>
                </c:pt>
                <c:pt idx="100">
                  <c:v>67</c:v>
                </c:pt>
                <c:pt idx="101">
                  <c:v>68</c:v>
                </c:pt>
                <c:pt idx="102">
                  <c:v>68</c:v>
                </c:pt>
                <c:pt idx="103">
                  <c:v>72</c:v>
                </c:pt>
                <c:pt idx="104">
                  <c:v>73</c:v>
                </c:pt>
                <c:pt idx="105">
                  <c:v>73</c:v>
                </c:pt>
                <c:pt idx="106">
                  <c:v>73</c:v>
                </c:pt>
                <c:pt idx="107">
                  <c:v>74</c:v>
                </c:pt>
                <c:pt idx="108">
                  <c:v>74</c:v>
                </c:pt>
                <c:pt idx="109">
                  <c:v>74</c:v>
                </c:pt>
                <c:pt idx="110">
                  <c:v>74</c:v>
                </c:pt>
                <c:pt idx="111">
                  <c:v>75</c:v>
                </c:pt>
                <c:pt idx="112">
                  <c:v>75</c:v>
                </c:pt>
                <c:pt idx="113">
                  <c:v>75</c:v>
                </c:pt>
                <c:pt idx="114">
                  <c:v>75</c:v>
                </c:pt>
                <c:pt idx="115">
                  <c:v>76</c:v>
                </c:pt>
                <c:pt idx="116">
                  <c:v>77</c:v>
                </c:pt>
                <c:pt idx="117">
                  <c:v>77</c:v>
                </c:pt>
                <c:pt idx="118">
                  <c:v>77</c:v>
                </c:pt>
                <c:pt idx="119">
                  <c:v>79</c:v>
                </c:pt>
                <c:pt idx="120">
                  <c:v>79</c:v>
                </c:pt>
                <c:pt idx="121">
                  <c:v>79</c:v>
                </c:pt>
                <c:pt idx="122">
                  <c:v>80</c:v>
                </c:pt>
                <c:pt idx="123">
                  <c:v>80</c:v>
                </c:pt>
                <c:pt idx="124">
                  <c:v>81</c:v>
                </c:pt>
                <c:pt idx="125">
                  <c:v>81</c:v>
                </c:pt>
                <c:pt idx="126">
                  <c:v>82</c:v>
                </c:pt>
                <c:pt idx="127">
                  <c:v>82</c:v>
                </c:pt>
                <c:pt idx="128">
                  <c:v>84</c:v>
                </c:pt>
                <c:pt idx="129">
                  <c:v>84</c:v>
                </c:pt>
                <c:pt idx="130">
                  <c:v>86</c:v>
                </c:pt>
                <c:pt idx="131">
                  <c:v>88</c:v>
                </c:pt>
                <c:pt idx="132">
                  <c:v>89</c:v>
                </c:pt>
                <c:pt idx="133">
                  <c:v>91</c:v>
                </c:pt>
                <c:pt idx="134">
                  <c:v>94</c:v>
                </c:pt>
                <c:pt idx="135">
                  <c:v>94</c:v>
                </c:pt>
                <c:pt idx="136">
                  <c:v>94</c:v>
                </c:pt>
                <c:pt idx="137">
                  <c:v>95</c:v>
                </c:pt>
                <c:pt idx="138">
                  <c:v>96</c:v>
                </c:pt>
                <c:pt idx="139">
                  <c:v>96</c:v>
                </c:pt>
                <c:pt idx="140">
                  <c:v>96</c:v>
                </c:pt>
                <c:pt idx="141">
                  <c:v>101</c:v>
                </c:pt>
                <c:pt idx="142">
                  <c:v>102</c:v>
                </c:pt>
                <c:pt idx="143">
                  <c:v>103</c:v>
                </c:pt>
                <c:pt idx="144">
                  <c:v>105</c:v>
                </c:pt>
                <c:pt idx="145">
                  <c:v>105</c:v>
                </c:pt>
                <c:pt idx="146">
                  <c:v>110</c:v>
                </c:pt>
                <c:pt idx="147">
                  <c:v>111</c:v>
                </c:pt>
                <c:pt idx="148">
                  <c:v>111</c:v>
                </c:pt>
                <c:pt idx="149">
                  <c:v>114</c:v>
                </c:pt>
                <c:pt idx="150">
                  <c:v>121</c:v>
                </c:pt>
                <c:pt idx="151">
                  <c:v>122</c:v>
                </c:pt>
                <c:pt idx="152">
                  <c:v>123</c:v>
                </c:pt>
                <c:pt idx="153">
                  <c:v>123</c:v>
                </c:pt>
                <c:pt idx="154">
                  <c:v>124</c:v>
                </c:pt>
                <c:pt idx="155">
                  <c:v>129</c:v>
                </c:pt>
                <c:pt idx="156">
                  <c:v>131</c:v>
                </c:pt>
                <c:pt idx="157">
                  <c:v>140</c:v>
                </c:pt>
                <c:pt idx="158">
                  <c:v>140</c:v>
                </c:pt>
                <c:pt idx="159">
                  <c:v>141</c:v>
                </c:pt>
                <c:pt idx="160">
                  <c:v>143</c:v>
                </c:pt>
                <c:pt idx="161">
                  <c:v>145</c:v>
                </c:pt>
                <c:pt idx="162">
                  <c:v>148</c:v>
                </c:pt>
                <c:pt idx="163">
                  <c:v>150</c:v>
                </c:pt>
                <c:pt idx="164">
                  <c:v>152</c:v>
                </c:pt>
                <c:pt idx="165">
                  <c:v>152</c:v>
                </c:pt>
                <c:pt idx="166">
                  <c:v>154</c:v>
                </c:pt>
                <c:pt idx="167">
                  <c:v>156</c:v>
                </c:pt>
                <c:pt idx="168">
                  <c:v>158</c:v>
                </c:pt>
                <c:pt idx="169">
                  <c:v>159</c:v>
                </c:pt>
                <c:pt idx="170">
                  <c:v>159</c:v>
                </c:pt>
                <c:pt idx="171">
                  <c:v>159</c:v>
                </c:pt>
                <c:pt idx="172">
                  <c:v>161</c:v>
                </c:pt>
                <c:pt idx="173">
                  <c:v>161</c:v>
                </c:pt>
                <c:pt idx="174">
                  <c:v>161</c:v>
                </c:pt>
                <c:pt idx="175">
                  <c:v>172</c:v>
                </c:pt>
                <c:pt idx="176">
                  <c:v>172</c:v>
                </c:pt>
                <c:pt idx="177">
                  <c:v>173</c:v>
                </c:pt>
                <c:pt idx="178">
                  <c:v>178</c:v>
                </c:pt>
                <c:pt idx="179">
                  <c:v>182</c:v>
                </c:pt>
                <c:pt idx="180">
                  <c:v>199</c:v>
                </c:pt>
                <c:pt idx="181">
                  <c:v>200</c:v>
                </c:pt>
                <c:pt idx="182">
                  <c:v>201</c:v>
                </c:pt>
                <c:pt idx="183">
                  <c:v>205</c:v>
                </c:pt>
                <c:pt idx="184">
                  <c:v>207</c:v>
                </c:pt>
                <c:pt idx="185">
                  <c:v>208</c:v>
                </c:pt>
                <c:pt idx="186">
                  <c:v>209</c:v>
                </c:pt>
                <c:pt idx="187">
                  <c:v>210</c:v>
                </c:pt>
                <c:pt idx="188">
                  <c:v>217</c:v>
                </c:pt>
                <c:pt idx="189">
                  <c:v>219</c:v>
                </c:pt>
                <c:pt idx="190">
                  <c:v>221</c:v>
                </c:pt>
                <c:pt idx="191">
                  <c:v>225</c:v>
                </c:pt>
                <c:pt idx="192">
                  <c:v>227</c:v>
                </c:pt>
                <c:pt idx="193">
                  <c:v>231</c:v>
                </c:pt>
                <c:pt idx="194">
                  <c:v>243</c:v>
                </c:pt>
                <c:pt idx="195">
                  <c:v>247</c:v>
                </c:pt>
                <c:pt idx="196">
                  <c:v>251</c:v>
                </c:pt>
                <c:pt idx="197">
                  <c:v>262</c:v>
                </c:pt>
                <c:pt idx="198">
                  <c:v>262</c:v>
                </c:pt>
                <c:pt idx="199">
                  <c:v>269</c:v>
                </c:pt>
                <c:pt idx="200">
                  <c:v>280</c:v>
                </c:pt>
                <c:pt idx="201">
                  <c:v>281</c:v>
                </c:pt>
                <c:pt idx="202">
                  <c:v>290</c:v>
                </c:pt>
                <c:pt idx="203">
                  <c:v>358</c:v>
                </c:pt>
                <c:pt idx="204">
                  <c:v>444</c:v>
                </c:pt>
                <c:pt idx="205">
                  <c:v>464</c:v>
                </c:pt>
                <c:pt idx="206">
                  <c:v>558</c:v>
                </c:pt>
                <c:pt idx="207">
                  <c:v>588</c:v>
                </c:pt>
                <c:pt idx="20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F2-4F28-8925-4B69864A9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6970256"/>
        <c:axId val="1416964016"/>
      </c:scatterChart>
      <c:valAx>
        <c:axId val="1416970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964016"/>
        <c:crosses val="autoZero"/>
        <c:crossBetween val="midCat"/>
      </c:valAx>
      <c:valAx>
        <c:axId val="141696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970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SGOT!$H$9:$I$11</c:f>
              <c:multiLvlStrCache>
                <c:ptCount val="3"/>
                <c:lvl>
                  <c:pt idx="0">
                    <c:v>Normal</c:v>
                  </c:pt>
                  <c:pt idx="1">
                    <c:v>High</c:v>
                  </c:pt>
                  <c:pt idx="2">
                    <c:v>Very High</c:v>
                  </c:pt>
                </c:lvl>
                <c:lvl>
                  <c:pt idx="0">
                    <c:v>5 to 40</c:v>
                  </c:pt>
                  <c:pt idx="1">
                    <c:v>40 - 100</c:v>
                  </c:pt>
                  <c:pt idx="2">
                    <c:v>&gt;100</c:v>
                  </c:pt>
                </c:lvl>
              </c:multiLvlStrCache>
            </c:multiLvlStrRef>
          </c:cat>
          <c:val>
            <c:numRef>
              <c:f>SGOT!$J$9:$J$11</c:f>
              <c:numCache>
                <c:formatCode>General</c:formatCode>
                <c:ptCount val="3"/>
                <c:pt idx="0">
                  <c:v>2</c:v>
                </c:pt>
                <c:pt idx="1">
                  <c:v>84</c:v>
                </c:pt>
                <c:pt idx="2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58-4401-9D9D-79E193EDD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7425672"/>
        <c:axId val="2080826776"/>
      </c:barChart>
      <c:catAx>
        <c:axId val="1047425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826776"/>
        <c:crosses val="autoZero"/>
        <c:auto val="1"/>
        <c:lblAlgn val="ctr"/>
        <c:lblOffset val="100"/>
        <c:noMultiLvlLbl val="0"/>
      </c:catAx>
      <c:valAx>
        <c:axId val="2080826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425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SGOT!$D$3:$D$211</c:f>
              <c:numCache>
                <c:formatCode>General</c:formatCode>
                <c:ptCount val="209"/>
                <c:pt idx="0">
                  <c:v>26.35</c:v>
                </c:pt>
                <c:pt idx="1">
                  <c:v>28.38</c:v>
                </c:pt>
                <c:pt idx="2">
                  <c:v>41.85</c:v>
                </c:pt>
                <c:pt idx="3">
                  <c:v>43.4</c:v>
                </c:pt>
                <c:pt idx="4">
                  <c:v>43.4</c:v>
                </c:pt>
                <c:pt idx="5">
                  <c:v>46.5</c:v>
                </c:pt>
                <c:pt idx="6">
                  <c:v>49.6</c:v>
                </c:pt>
                <c:pt idx="7">
                  <c:v>49.6</c:v>
                </c:pt>
                <c:pt idx="8">
                  <c:v>54.25</c:v>
                </c:pt>
                <c:pt idx="9">
                  <c:v>54.25</c:v>
                </c:pt>
                <c:pt idx="10">
                  <c:v>54.25</c:v>
                </c:pt>
                <c:pt idx="11">
                  <c:v>55.8</c:v>
                </c:pt>
                <c:pt idx="12">
                  <c:v>56.76</c:v>
                </c:pt>
                <c:pt idx="13">
                  <c:v>56.76</c:v>
                </c:pt>
                <c:pt idx="14">
                  <c:v>56.76</c:v>
                </c:pt>
                <c:pt idx="15">
                  <c:v>57</c:v>
                </c:pt>
                <c:pt idx="16">
                  <c:v>57.35</c:v>
                </c:pt>
                <c:pt idx="17">
                  <c:v>57.35</c:v>
                </c:pt>
                <c:pt idx="18">
                  <c:v>57.35</c:v>
                </c:pt>
                <c:pt idx="19">
                  <c:v>57.35</c:v>
                </c:pt>
                <c:pt idx="20">
                  <c:v>58</c:v>
                </c:pt>
                <c:pt idx="21">
                  <c:v>60.45</c:v>
                </c:pt>
                <c:pt idx="22">
                  <c:v>60.45</c:v>
                </c:pt>
                <c:pt idx="23">
                  <c:v>60.45</c:v>
                </c:pt>
                <c:pt idx="24">
                  <c:v>60.63</c:v>
                </c:pt>
                <c:pt idx="25">
                  <c:v>62</c:v>
                </c:pt>
                <c:pt idx="26">
                  <c:v>65.099999999999994</c:v>
                </c:pt>
                <c:pt idx="27">
                  <c:v>65.099999999999994</c:v>
                </c:pt>
                <c:pt idx="28">
                  <c:v>66.650000000000006</c:v>
                </c:pt>
                <c:pt idx="29">
                  <c:v>66.650000000000006</c:v>
                </c:pt>
                <c:pt idx="30">
                  <c:v>67.08</c:v>
                </c:pt>
                <c:pt idx="31">
                  <c:v>69.75</c:v>
                </c:pt>
                <c:pt idx="32">
                  <c:v>71</c:v>
                </c:pt>
                <c:pt idx="33">
                  <c:v>71.3</c:v>
                </c:pt>
                <c:pt idx="34">
                  <c:v>71.3</c:v>
                </c:pt>
                <c:pt idx="35">
                  <c:v>71.3</c:v>
                </c:pt>
                <c:pt idx="36">
                  <c:v>71.3</c:v>
                </c:pt>
                <c:pt idx="37">
                  <c:v>71.3</c:v>
                </c:pt>
                <c:pt idx="38">
                  <c:v>71.3</c:v>
                </c:pt>
                <c:pt idx="39">
                  <c:v>72.239999999999995</c:v>
                </c:pt>
                <c:pt idx="40">
                  <c:v>72.239999999999995</c:v>
                </c:pt>
                <c:pt idx="41">
                  <c:v>72.849999999999994</c:v>
                </c:pt>
                <c:pt idx="42">
                  <c:v>72.849999999999994</c:v>
                </c:pt>
                <c:pt idx="43">
                  <c:v>73.53</c:v>
                </c:pt>
                <c:pt idx="44">
                  <c:v>73.53</c:v>
                </c:pt>
                <c:pt idx="45">
                  <c:v>74.400000000000006</c:v>
                </c:pt>
                <c:pt idx="46">
                  <c:v>74.400000000000006</c:v>
                </c:pt>
                <c:pt idx="47">
                  <c:v>74.400000000000006</c:v>
                </c:pt>
                <c:pt idx="48">
                  <c:v>74.400000000000006</c:v>
                </c:pt>
                <c:pt idx="49">
                  <c:v>75.95</c:v>
                </c:pt>
                <c:pt idx="50">
                  <c:v>75.95</c:v>
                </c:pt>
                <c:pt idx="51">
                  <c:v>77.5</c:v>
                </c:pt>
                <c:pt idx="52">
                  <c:v>77.5</c:v>
                </c:pt>
                <c:pt idx="53">
                  <c:v>79.05</c:v>
                </c:pt>
                <c:pt idx="54">
                  <c:v>79.05</c:v>
                </c:pt>
                <c:pt idx="55">
                  <c:v>79.05</c:v>
                </c:pt>
                <c:pt idx="56">
                  <c:v>79.98</c:v>
                </c:pt>
                <c:pt idx="57">
                  <c:v>80.599999999999994</c:v>
                </c:pt>
                <c:pt idx="58">
                  <c:v>82.15</c:v>
                </c:pt>
                <c:pt idx="59">
                  <c:v>82.15</c:v>
                </c:pt>
                <c:pt idx="60">
                  <c:v>82.56</c:v>
                </c:pt>
                <c:pt idx="61">
                  <c:v>83.7</c:v>
                </c:pt>
                <c:pt idx="62">
                  <c:v>85.25</c:v>
                </c:pt>
                <c:pt idx="63">
                  <c:v>85.25</c:v>
                </c:pt>
                <c:pt idx="64">
                  <c:v>86.8</c:v>
                </c:pt>
                <c:pt idx="65">
                  <c:v>86.8</c:v>
                </c:pt>
                <c:pt idx="66">
                  <c:v>88.35</c:v>
                </c:pt>
                <c:pt idx="67">
                  <c:v>88.35</c:v>
                </c:pt>
                <c:pt idx="68">
                  <c:v>89.9</c:v>
                </c:pt>
                <c:pt idx="69">
                  <c:v>89.9</c:v>
                </c:pt>
                <c:pt idx="70">
                  <c:v>89.9</c:v>
                </c:pt>
                <c:pt idx="71">
                  <c:v>91.45</c:v>
                </c:pt>
                <c:pt idx="72">
                  <c:v>93</c:v>
                </c:pt>
                <c:pt idx="73">
                  <c:v>93</c:v>
                </c:pt>
                <c:pt idx="74">
                  <c:v>94.55</c:v>
                </c:pt>
                <c:pt idx="75">
                  <c:v>94.55</c:v>
                </c:pt>
                <c:pt idx="76">
                  <c:v>95.46</c:v>
                </c:pt>
                <c:pt idx="77">
                  <c:v>96.1</c:v>
                </c:pt>
                <c:pt idx="78">
                  <c:v>96.1</c:v>
                </c:pt>
                <c:pt idx="79">
                  <c:v>97.65</c:v>
                </c:pt>
                <c:pt idx="80">
                  <c:v>97.65</c:v>
                </c:pt>
                <c:pt idx="81">
                  <c:v>97.65</c:v>
                </c:pt>
                <c:pt idx="82">
                  <c:v>97.65</c:v>
                </c:pt>
                <c:pt idx="83">
                  <c:v>99</c:v>
                </c:pt>
                <c:pt idx="84">
                  <c:v>99.2</c:v>
                </c:pt>
                <c:pt idx="85">
                  <c:v>99.33</c:v>
                </c:pt>
                <c:pt idx="86">
                  <c:v>100.75</c:v>
                </c:pt>
                <c:pt idx="87">
                  <c:v>100.75</c:v>
                </c:pt>
                <c:pt idx="88">
                  <c:v>101.91</c:v>
                </c:pt>
                <c:pt idx="89">
                  <c:v>102.3</c:v>
                </c:pt>
                <c:pt idx="90">
                  <c:v>102.3</c:v>
                </c:pt>
                <c:pt idx="91">
                  <c:v>103.85</c:v>
                </c:pt>
                <c:pt idx="92">
                  <c:v>104.49</c:v>
                </c:pt>
                <c:pt idx="93">
                  <c:v>105.78</c:v>
                </c:pt>
                <c:pt idx="94">
                  <c:v>106.95</c:v>
                </c:pt>
                <c:pt idx="95">
                  <c:v>106.95</c:v>
                </c:pt>
                <c:pt idx="96">
                  <c:v>106.95</c:v>
                </c:pt>
                <c:pt idx="97">
                  <c:v>108.5</c:v>
                </c:pt>
                <c:pt idx="98">
                  <c:v>108.5</c:v>
                </c:pt>
                <c:pt idx="99">
                  <c:v>108.5</c:v>
                </c:pt>
                <c:pt idx="100">
                  <c:v>110.05</c:v>
                </c:pt>
                <c:pt idx="101">
                  <c:v>110.05</c:v>
                </c:pt>
                <c:pt idx="102">
                  <c:v>110.05</c:v>
                </c:pt>
                <c:pt idx="103">
                  <c:v>111.6</c:v>
                </c:pt>
                <c:pt idx="104">
                  <c:v>113.15</c:v>
                </c:pt>
                <c:pt idx="105">
                  <c:v>113.52</c:v>
                </c:pt>
                <c:pt idx="106">
                  <c:v>114.7</c:v>
                </c:pt>
                <c:pt idx="107">
                  <c:v>116.25</c:v>
                </c:pt>
                <c:pt idx="108">
                  <c:v>116.25</c:v>
                </c:pt>
                <c:pt idx="109">
                  <c:v>117.8</c:v>
                </c:pt>
                <c:pt idx="110">
                  <c:v>117.8</c:v>
                </c:pt>
                <c:pt idx="111">
                  <c:v>119.35</c:v>
                </c:pt>
                <c:pt idx="112">
                  <c:v>119.35</c:v>
                </c:pt>
                <c:pt idx="113">
                  <c:v>119.35</c:v>
                </c:pt>
                <c:pt idx="114">
                  <c:v>120.9</c:v>
                </c:pt>
                <c:pt idx="115">
                  <c:v>120.9</c:v>
                </c:pt>
                <c:pt idx="116">
                  <c:v>120.9</c:v>
                </c:pt>
                <c:pt idx="117">
                  <c:v>120.9</c:v>
                </c:pt>
                <c:pt idx="118">
                  <c:v>120.9</c:v>
                </c:pt>
                <c:pt idx="119">
                  <c:v>121.26</c:v>
                </c:pt>
                <c:pt idx="120">
                  <c:v>122.45</c:v>
                </c:pt>
                <c:pt idx="121">
                  <c:v>122.45</c:v>
                </c:pt>
                <c:pt idx="122">
                  <c:v>122.45</c:v>
                </c:pt>
                <c:pt idx="123">
                  <c:v>125.55</c:v>
                </c:pt>
                <c:pt idx="124">
                  <c:v>126.42</c:v>
                </c:pt>
                <c:pt idx="125">
                  <c:v>127.1</c:v>
                </c:pt>
                <c:pt idx="126">
                  <c:v>127.1</c:v>
                </c:pt>
                <c:pt idx="127">
                  <c:v>127.1</c:v>
                </c:pt>
                <c:pt idx="128">
                  <c:v>127.71</c:v>
                </c:pt>
                <c:pt idx="129">
                  <c:v>128.65</c:v>
                </c:pt>
                <c:pt idx="130">
                  <c:v>128.65</c:v>
                </c:pt>
                <c:pt idx="131">
                  <c:v>128.65</c:v>
                </c:pt>
                <c:pt idx="132">
                  <c:v>130.19999999999999</c:v>
                </c:pt>
                <c:pt idx="133">
                  <c:v>130.19999999999999</c:v>
                </c:pt>
                <c:pt idx="134">
                  <c:v>133.30000000000001</c:v>
                </c:pt>
                <c:pt idx="135">
                  <c:v>134</c:v>
                </c:pt>
                <c:pt idx="136">
                  <c:v>134.85</c:v>
                </c:pt>
                <c:pt idx="137">
                  <c:v>134.85</c:v>
                </c:pt>
                <c:pt idx="138">
                  <c:v>134.85</c:v>
                </c:pt>
                <c:pt idx="139">
                  <c:v>134.85</c:v>
                </c:pt>
                <c:pt idx="140">
                  <c:v>136.4</c:v>
                </c:pt>
                <c:pt idx="141">
                  <c:v>136.74</c:v>
                </c:pt>
                <c:pt idx="142">
                  <c:v>137.94999999999999</c:v>
                </c:pt>
                <c:pt idx="143">
                  <c:v>137.94999999999999</c:v>
                </c:pt>
                <c:pt idx="144">
                  <c:v>137.94999999999999</c:v>
                </c:pt>
                <c:pt idx="145">
                  <c:v>137.94999999999999</c:v>
                </c:pt>
                <c:pt idx="146">
                  <c:v>139.5</c:v>
                </c:pt>
                <c:pt idx="147">
                  <c:v>141.05000000000001</c:v>
                </c:pt>
                <c:pt idx="148">
                  <c:v>142.6</c:v>
                </c:pt>
                <c:pt idx="149">
                  <c:v>144.15</c:v>
                </c:pt>
                <c:pt idx="150">
                  <c:v>145.69999999999999</c:v>
                </c:pt>
                <c:pt idx="151">
                  <c:v>147.25</c:v>
                </c:pt>
                <c:pt idx="152">
                  <c:v>147.25</c:v>
                </c:pt>
                <c:pt idx="153">
                  <c:v>150.35</c:v>
                </c:pt>
                <c:pt idx="154">
                  <c:v>151.9</c:v>
                </c:pt>
                <c:pt idx="155">
                  <c:v>151.9</c:v>
                </c:pt>
                <c:pt idx="156">
                  <c:v>151.9</c:v>
                </c:pt>
                <c:pt idx="157">
                  <c:v>151.9</c:v>
                </c:pt>
                <c:pt idx="158">
                  <c:v>153.44999999999999</c:v>
                </c:pt>
                <c:pt idx="159">
                  <c:v>153.44999999999999</c:v>
                </c:pt>
                <c:pt idx="160">
                  <c:v>153.44999999999999</c:v>
                </c:pt>
                <c:pt idx="161">
                  <c:v>155</c:v>
                </c:pt>
                <c:pt idx="162">
                  <c:v>155</c:v>
                </c:pt>
                <c:pt idx="163">
                  <c:v>159.65</c:v>
                </c:pt>
                <c:pt idx="164">
                  <c:v>164.3</c:v>
                </c:pt>
                <c:pt idx="165">
                  <c:v>165.85</c:v>
                </c:pt>
                <c:pt idx="166">
                  <c:v>165.85</c:v>
                </c:pt>
                <c:pt idx="167">
                  <c:v>165.85</c:v>
                </c:pt>
                <c:pt idx="168">
                  <c:v>167.4</c:v>
                </c:pt>
                <c:pt idx="169">
                  <c:v>167.4</c:v>
                </c:pt>
                <c:pt idx="170">
                  <c:v>170.5</c:v>
                </c:pt>
                <c:pt idx="171">
                  <c:v>170.5</c:v>
                </c:pt>
                <c:pt idx="172">
                  <c:v>170.5</c:v>
                </c:pt>
                <c:pt idx="173">
                  <c:v>170.5</c:v>
                </c:pt>
                <c:pt idx="174">
                  <c:v>170.5</c:v>
                </c:pt>
                <c:pt idx="175">
                  <c:v>172.05</c:v>
                </c:pt>
                <c:pt idx="176">
                  <c:v>173.6</c:v>
                </c:pt>
                <c:pt idx="177">
                  <c:v>176.7</c:v>
                </c:pt>
                <c:pt idx="178">
                  <c:v>178.25</c:v>
                </c:pt>
                <c:pt idx="179">
                  <c:v>179.8</c:v>
                </c:pt>
                <c:pt idx="180">
                  <c:v>180.6</c:v>
                </c:pt>
                <c:pt idx="181">
                  <c:v>181.35</c:v>
                </c:pt>
                <c:pt idx="182">
                  <c:v>182.9</c:v>
                </c:pt>
                <c:pt idx="183">
                  <c:v>182.9</c:v>
                </c:pt>
                <c:pt idx="184">
                  <c:v>186</c:v>
                </c:pt>
                <c:pt idx="185">
                  <c:v>187.55</c:v>
                </c:pt>
                <c:pt idx="186">
                  <c:v>188.34</c:v>
                </c:pt>
                <c:pt idx="187">
                  <c:v>189.1</c:v>
                </c:pt>
                <c:pt idx="188">
                  <c:v>196.85</c:v>
                </c:pt>
                <c:pt idx="189">
                  <c:v>198.4</c:v>
                </c:pt>
                <c:pt idx="190">
                  <c:v>198.4</c:v>
                </c:pt>
                <c:pt idx="191">
                  <c:v>201.5</c:v>
                </c:pt>
                <c:pt idx="192">
                  <c:v>203.05</c:v>
                </c:pt>
                <c:pt idx="193">
                  <c:v>206.4</c:v>
                </c:pt>
                <c:pt idx="194">
                  <c:v>206.4</c:v>
                </c:pt>
                <c:pt idx="195">
                  <c:v>210.8</c:v>
                </c:pt>
                <c:pt idx="196">
                  <c:v>215.45</c:v>
                </c:pt>
                <c:pt idx="197">
                  <c:v>218.55</c:v>
                </c:pt>
                <c:pt idx="198">
                  <c:v>218.55</c:v>
                </c:pt>
                <c:pt idx="199">
                  <c:v>221.88</c:v>
                </c:pt>
                <c:pt idx="200">
                  <c:v>227.04</c:v>
                </c:pt>
                <c:pt idx="201">
                  <c:v>232.5</c:v>
                </c:pt>
                <c:pt idx="202">
                  <c:v>237.15</c:v>
                </c:pt>
                <c:pt idx="203">
                  <c:v>244.9</c:v>
                </c:pt>
                <c:pt idx="204">
                  <c:v>246.45</c:v>
                </c:pt>
                <c:pt idx="205">
                  <c:v>246.45</c:v>
                </c:pt>
                <c:pt idx="206">
                  <c:v>246.45</c:v>
                </c:pt>
                <c:pt idx="207">
                  <c:v>246.45</c:v>
                </c:pt>
                <c:pt idx="208">
                  <c:v>246.45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CA-4053-9BAB-9D66C95D6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6973168"/>
        <c:axId val="1416975664"/>
      </c:scatterChart>
      <c:valAx>
        <c:axId val="1416973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975664"/>
        <c:crosses val="autoZero"/>
        <c:crossBetween val="midCat"/>
      </c:valAx>
      <c:valAx>
        <c:axId val="141697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973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Tryglicerides!$G$10:$H$13</c:f>
              <c:multiLvlStrCache>
                <c:ptCount val="4"/>
                <c:lvl>
                  <c:pt idx="0">
                    <c:v>Normal</c:v>
                  </c:pt>
                  <c:pt idx="1">
                    <c:v>Boarderline high</c:v>
                  </c:pt>
                  <c:pt idx="2">
                    <c:v>high</c:v>
                  </c:pt>
                  <c:pt idx="3">
                    <c:v>very High</c:v>
                  </c:pt>
                </c:lvl>
                <c:lvl>
                  <c:pt idx="0">
                    <c:v>&lt;150</c:v>
                  </c:pt>
                  <c:pt idx="1">
                    <c:v>150 to 199</c:v>
                  </c:pt>
                  <c:pt idx="2">
                    <c:v>200-499</c:v>
                  </c:pt>
                  <c:pt idx="3">
                    <c:v>&gt;500</c:v>
                  </c:pt>
                </c:lvl>
              </c:multiLvlStrCache>
            </c:multiLvlStrRef>
          </c:cat>
          <c:val>
            <c:numRef>
              <c:f>Tryglicerides!$I$10:$I$13</c:f>
              <c:numCache>
                <c:formatCode>General</c:formatCode>
                <c:ptCount val="4"/>
                <c:pt idx="0">
                  <c:v>160</c:v>
                </c:pt>
                <c:pt idx="1">
                  <c:v>30</c:v>
                </c:pt>
                <c:pt idx="2">
                  <c:v>19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CA-4690-A84E-EBE6D4964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8229495"/>
        <c:axId val="2054843847"/>
      </c:barChart>
      <c:catAx>
        <c:axId val="1358229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843847"/>
        <c:crosses val="autoZero"/>
        <c:auto val="1"/>
        <c:lblAlgn val="ctr"/>
        <c:lblOffset val="100"/>
        <c:noMultiLvlLbl val="0"/>
      </c:catAx>
      <c:valAx>
        <c:axId val="2054843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229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Tryglicerides!$B$3:$B$211</c:f>
              <c:numCache>
                <c:formatCode>General</c:formatCode>
                <c:ptCount val="209"/>
                <c:pt idx="0">
                  <c:v>46</c:v>
                </c:pt>
                <c:pt idx="1">
                  <c:v>49</c:v>
                </c:pt>
                <c:pt idx="2">
                  <c:v>50</c:v>
                </c:pt>
                <c:pt idx="3">
                  <c:v>52</c:v>
                </c:pt>
                <c:pt idx="4">
                  <c:v>52</c:v>
                </c:pt>
                <c:pt idx="5">
                  <c:v>53</c:v>
                </c:pt>
                <c:pt idx="6">
                  <c:v>55</c:v>
                </c:pt>
                <c:pt idx="7">
                  <c:v>55</c:v>
                </c:pt>
                <c:pt idx="8">
                  <c:v>55</c:v>
                </c:pt>
                <c:pt idx="9">
                  <c:v>55</c:v>
                </c:pt>
                <c:pt idx="10">
                  <c:v>56</c:v>
                </c:pt>
                <c:pt idx="11">
                  <c:v>56</c:v>
                </c:pt>
                <c:pt idx="12">
                  <c:v>56</c:v>
                </c:pt>
                <c:pt idx="13">
                  <c:v>58</c:v>
                </c:pt>
                <c:pt idx="14">
                  <c:v>58</c:v>
                </c:pt>
                <c:pt idx="15">
                  <c:v>58</c:v>
                </c:pt>
                <c:pt idx="16">
                  <c:v>62</c:v>
                </c:pt>
                <c:pt idx="17">
                  <c:v>63</c:v>
                </c:pt>
                <c:pt idx="18">
                  <c:v>64</c:v>
                </c:pt>
                <c:pt idx="19">
                  <c:v>66</c:v>
                </c:pt>
                <c:pt idx="20">
                  <c:v>68</c:v>
                </c:pt>
                <c:pt idx="21">
                  <c:v>68</c:v>
                </c:pt>
                <c:pt idx="22">
                  <c:v>68</c:v>
                </c:pt>
                <c:pt idx="23">
                  <c:v>68</c:v>
                </c:pt>
                <c:pt idx="24">
                  <c:v>68</c:v>
                </c:pt>
                <c:pt idx="25">
                  <c:v>69</c:v>
                </c:pt>
                <c:pt idx="26">
                  <c:v>69</c:v>
                </c:pt>
                <c:pt idx="27">
                  <c:v>70</c:v>
                </c:pt>
                <c:pt idx="28">
                  <c:v>70</c:v>
                </c:pt>
                <c:pt idx="29">
                  <c:v>71</c:v>
                </c:pt>
                <c:pt idx="30">
                  <c:v>72</c:v>
                </c:pt>
                <c:pt idx="31">
                  <c:v>72</c:v>
                </c:pt>
                <c:pt idx="32">
                  <c:v>73</c:v>
                </c:pt>
                <c:pt idx="33">
                  <c:v>74</c:v>
                </c:pt>
                <c:pt idx="34">
                  <c:v>75</c:v>
                </c:pt>
                <c:pt idx="35">
                  <c:v>76</c:v>
                </c:pt>
                <c:pt idx="36">
                  <c:v>76</c:v>
                </c:pt>
                <c:pt idx="37">
                  <c:v>77</c:v>
                </c:pt>
                <c:pt idx="38">
                  <c:v>78</c:v>
                </c:pt>
                <c:pt idx="39">
                  <c:v>78</c:v>
                </c:pt>
                <c:pt idx="40">
                  <c:v>79</c:v>
                </c:pt>
                <c:pt idx="41">
                  <c:v>80</c:v>
                </c:pt>
                <c:pt idx="42">
                  <c:v>80</c:v>
                </c:pt>
                <c:pt idx="43">
                  <c:v>80</c:v>
                </c:pt>
                <c:pt idx="44">
                  <c:v>83</c:v>
                </c:pt>
                <c:pt idx="45">
                  <c:v>83</c:v>
                </c:pt>
                <c:pt idx="46">
                  <c:v>84</c:v>
                </c:pt>
                <c:pt idx="47">
                  <c:v>84</c:v>
                </c:pt>
                <c:pt idx="48">
                  <c:v>84</c:v>
                </c:pt>
                <c:pt idx="49">
                  <c:v>85</c:v>
                </c:pt>
                <c:pt idx="50">
                  <c:v>85</c:v>
                </c:pt>
                <c:pt idx="51">
                  <c:v>85</c:v>
                </c:pt>
                <c:pt idx="52">
                  <c:v>86</c:v>
                </c:pt>
                <c:pt idx="53">
                  <c:v>86</c:v>
                </c:pt>
                <c:pt idx="54">
                  <c:v>87</c:v>
                </c:pt>
                <c:pt idx="55">
                  <c:v>88</c:v>
                </c:pt>
                <c:pt idx="56">
                  <c:v>88</c:v>
                </c:pt>
                <c:pt idx="57">
                  <c:v>88</c:v>
                </c:pt>
                <c:pt idx="58">
                  <c:v>89</c:v>
                </c:pt>
                <c:pt idx="59">
                  <c:v>90</c:v>
                </c:pt>
                <c:pt idx="60">
                  <c:v>90</c:v>
                </c:pt>
                <c:pt idx="61">
                  <c:v>91</c:v>
                </c:pt>
                <c:pt idx="62">
                  <c:v>91</c:v>
                </c:pt>
                <c:pt idx="63">
                  <c:v>91</c:v>
                </c:pt>
                <c:pt idx="64">
                  <c:v>92</c:v>
                </c:pt>
                <c:pt idx="65">
                  <c:v>93</c:v>
                </c:pt>
                <c:pt idx="66">
                  <c:v>93</c:v>
                </c:pt>
                <c:pt idx="67">
                  <c:v>94</c:v>
                </c:pt>
                <c:pt idx="68">
                  <c:v>94</c:v>
                </c:pt>
                <c:pt idx="69">
                  <c:v>95</c:v>
                </c:pt>
                <c:pt idx="70">
                  <c:v>95</c:v>
                </c:pt>
                <c:pt idx="71">
                  <c:v>96</c:v>
                </c:pt>
                <c:pt idx="72">
                  <c:v>96</c:v>
                </c:pt>
                <c:pt idx="73">
                  <c:v>97</c:v>
                </c:pt>
                <c:pt idx="74">
                  <c:v>98</c:v>
                </c:pt>
                <c:pt idx="75">
                  <c:v>98</c:v>
                </c:pt>
                <c:pt idx="76">
                  <c:v>99</c:v>
                </c:pt>
                <c:pt idx="77">
                  <c:v>99</c:v>
                </c:pt>
                <c:pt idx="78">
                  <c:v>100</c:v>
                </c:pt>
                <c:pt idx="79">
                  <c:v>100</c:v>
                </c:pt>
                <c:pt idx="80">
                  <c:v>101</c:v>
                </c:pt>
                <c:pt idx="81">
                  <c:v>101</c:v>
                </c:pt>
                <c:pt idx="82">
                  <c:v>101</c:v>
                </c:pt>
                <c:pt idx="83">
                  <c:v>102</c:v>
                </c:pt>
                <c:pt idx="84">
                  <c:v>102</c:v>
                </c:pt>
                <c:pt idx="85">
                  <c:v>103</c:v>
                </c:pt>
                <c:pt idx="86">
                  <c:v>104</c:v>
                </c:pt>
                <c:pt idx="87">
                  <c:v>104</c:v>
                </c:pt>
                <c:pt idx="88">
                  <c:v>105</c:v>
                </c:pt>
                <c:pt idx="89">
                  <c:v>106</c:v>
                </c:pt>
                <c:pt idx="90">
                  <c:v>106</c:v>
                </c:pt>
                <c:pt idx="91">
                  <c:v>107</c:v>
                </c:pt>
                <c:pt idx="92">
                  <c:v>108</c:v>
                </c:pt>
                <c:pt idx="93">
                  <c:v>108</c:v>
                </c:pt>
                <c:pt idx="94">
                  <c:v>109</c:v>
                </c:pt>
                <c:pt idx="95">
                  <c:v>110</c:v>
                </c:pt>
                <c:pt idx="96">
                  <c:v>111</c:v>
                </c:pt>
                <c:pt idx="97">
                  <c:v>112</c:v>
                </c:pt>
                <c:pt idx="98">
                  <c:v>112</c:v>
                </c:pt>
                <c:pt idx="99">
                  <c:v>113</c:v>
                </c:pt>
                <c:pt idx="100">
                  <c:v>113</c:v>
                </c:pt>
                <c:pt idx="101">
                  <c:v>114</c:v>
                </c:pt>
                <c:pt idx="102">
                  <c:v>114</c:v>
                </c:pt>
                <c:pt idx="103">
                  <c:v>118</c:v>
                </c:pt>
                <c:pt idx="104">
                  <c:v>118</c:v>
                </c:pt>
                <c:pt idx="105">
                  <c:v>118</c:v>
                </c:pt>
                <c:pt idx="106">
                  <c:v>118</c:v>
                </c:pt>
                <c:pt idx="107">
                  <c:v>119</c:v>
                </c:pt>
                <c:pt idx="108">
                  <c:v>121</c:v>
                </c:pt>
                <c:pt idx="109">
                  <c:v>122</c:v>
                </c:pt>
                <c:pt idx="110">
                  <c:v>123</c:v>
                </c:pt>
                <c:pt idx="111">
                  <c:v>124</c:v>
                </c:pt>
                <c:pt idx="112">
                  <c:v>125</c:v>
                </c:pt>
                <c:pt idx="113">
                  <c:v>126</c:v>
                </c:pt>
                <c:pt idx="114">
                  <c:v>126</c:v>
                </c:pt>
                <c:pt idx="115">
                  <c:v>128</c:v>
                </c:pt>
                <c:pt idx="116">
                  <c:v>130</c:v>
                </c:pt>
                <c:pt idx="117">
                  <c:v>131</c:v>
                </c:pt>
                <c:pt idx="118">
                  <c:v>133</c:v>
                </c:pt>
                <c:pt idx="119">
                  <c:v>133</c:v>
                </c:pt>
                <c:pt idx="120">
                  <c:v>133</c:v>
                </c:pt>
                <c:pt idx="121">
                  <c:v>134</c:v>
                </c:pt>
                <c:pt idx="122">
                  <c:v>135</c:v>
                </c:pt>
                <c:pt idx="123">
                  <c:v>135</c:v>
                </c:pt>
                <c:pt idx="124">
                  <c:v>137</c:v>
                </c:pt>
                <c:pt idx="125">
                  <c:v>137</c:v>
                </c:pt>
                <c:pt idx="126">
                  <c:v>137</c:v>
                </c:pt>
                <c:pt idx="127">
                  <c:v>140</c:v>
                </c:pt>
                <c:pt idx="128">
                  <c:v>140</c:v>
                </c:pt>
                <c:pt idx="129">
                  <c:v>142</c:v>
                </c:pt>
                <c:pt idx="130">
                  <c:v>143</c:v>
                </c:pt>
                <c:pt idx="131">
                  <c:v>143</c:v>
                </c:pt>
                <c:pt idx="132">
                  <c:v>145</c:v>
                </c:pt>
                <c:pt idx="133">
                  <c:v>146</c:v>
                </c:pt>
                <c:pt idx="134">
                  <c:v>149</c:v>
                </c:pt>
                <c:pt idx="135">
                  <c:v>151</c:v>
                </c:pt>
                <c:pt idx="136">
                  <c:v>152</c:v>
                </c:pt>
                <c:pt idx="137">
                  <c:v>154</c:v>
                </c:pt>
                <c:pt idx="138">
                  <c:v>154</c:v>
                </c:pt>
                <c:pt idx="139">
                  <c:v>155</c:v>
                </c:pt>
                <c:pt idx="140">
                  <c:v>155</c:v>
                </c:pt>
                <c:pt idx="141">
                  <c:v>156</c:v>
                </c:pt>
                <c:pt idx="142">
                  <c:v>157</c:v>
                </c:pt>
                <c:pt idx="143">
                  <c:v>158</c:v>
                </c:pt>
                <c:pt idx="144">
                  <c:v>158</c:v>
                </c:pt>
                <c:pt idx="145">
                  <c:v>165</c:v>
                </c:pt>
                <c:pt idx="146">
                  <c:v>166</c:v>
                </c:pt>
                <c:pt idx="147">
                  <c:v>166</c:v>
                </c:pt>
                <c:pt idx="148">
                  <c:v>168</c:v>
                </c:pt>
                <c:pt idx="149">
                  <c:v>168</c:v>
                </c:pt>
                <c:pt idx="150">
                  <c:v>171</c:v>
                </c:pt>
                <c:pt idx="151">
                  <c:v>171</c:v>
                </c:pt>
                <c:pt idx="152">
                  <c:v>172</c:v>
                </c:pt>
                <c:pt idx="153">
                  <c:v>174</c:v>
                </c:pt>
                <c:pt idx="154">
                  <c:v>174</c:v>
                </c:pt>
                <c:pt idx="155">
                  <c:v>175</c:v>
                </c:pt>
                <c:pt idx="156">
                  <c:v>178</c:v>
                </c:pt>
                <c:pt idx="157">
                  <c:v>180</c:v>
                </c:pt>
                <c:pt idx="158">
                  <c:v>184</c:v>
                </c:pt>
                <c:pt idx="159">
                  <c:v>185</c:v>
                </c:pt>
                <c:pt idx="160">
                  <c:v>188</c:v>
                </c:pt>
                <c:pt idx="161">
                  <c:v>188</c:v>
                </c:pt>
                <c:pt idx="162">
                  <c:v>189</c:v>
                </c:pt>
                <c:pt idx="163">
                  <c:v>191</c:v>
                </c:pt>
                <c:pt idx="164">
                  <c:v>195</c:v>
                </c:pt>
                <c:pt idx="165">
                  <c:v>200</c:v>
                </c:pt>
                <c:pt idx="166">
                  <c:v>205</c:v>
                </c:pt>
                <c:pt idx="167">
                  <c:v>206</c:v>
                </c:pt>
                <c:pt idx="168">
                  <c:v>210</c:v>
                </c:pt>
                <c:pt idx="169">
                  <c:v>210</c:v>
                </c:pt>
                <c:pt idx="170">
                  <c:v>213</c:v>
                </c:pt>
                <c:pt idx="171">
                  <c:v>218</c:v>
                </c:pt>
                <c:pt idx="172">
                  <c:v>219</c:v>
                </c:pt>
                <c:pt idx="173">
                  <c:v>224</c:v>
                </c:pt>
                <c:pt idx="174">
                  <c:v>230</c:v>
                </c:pt>
                <c:pt idx="175">
                  <c:v>232</c:v>
                </c:pt>
                <c:pt idx="176">
                  <c:v>243</c:v>
                </c:pt>
                <c:pt idx="177">
                  <c:v>272</c:v>
                </c:pt>
                <c:pt idx="178">
                  <c:v>280</c:v>
                </c:pt>
                <c:pt idx="179">
                  <c:v>309</c:v>
                </c:pt>
                <c:pt idx="180">
                  <c:v>318</c:v>
                </c:pt>
                <c:pt idx="181">
                  <c:v>319</c:v>
                </c:pt>
                <c:pt idx="182">
                  <c:v>382</c:v>
                </c:pt>
                <c:pt idx="183">
                  <c:v>598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6F-4A3F-88BD-50AD19D96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8294336"/>
        <c:axId val="938284768"/>
      </c:scatterChart>
      <c:valAx>
        <c:axId val="938294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284768"/>
        <c:crosses val="autoZero"/>
        <c:crossBetween val="midCat"/>
      </c:valAx>
      <c:valAx>
        <c:axId val="93828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294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Prothrombin!$G$11:$H$13</c:f>
              <c:multiLvlStrCache>
                <c:ptCount val="3"/>
                <c:lvl>
                  <c:pt idx="0">
                    <c:v>Less Time</c:v>
                  </c:pt>
                  <c:pt idx="1">
                    <c:v>Average Time</c:v>
                  </c:pt>
                  <c:pt idx="2">
                    <c:v>Higher Time</c:v>
                  </c:pt>
                </c:lvl>
                <c:lvl>
                  <c:pt idx="0">
                    <c:v>&lt;10</c:v>
                  </c:pt>
                  <c:pt idx="1">
                    <c:v>10 -- 14</c:v>
                  </c:pt>
                  <c:pt idx="2">
                    <c:v>&gt;14</c:v>
                  </c:pt>
                </c:lvl>
              </c:multiLvlStrCache>
            </c:multiLvlStrRef>
          </c:cat>
          <c:val>
            <c:numRef>
              <c:f>Prothrombin!$I$11:$I$13</c:f>
              <c:numCache>
                <c:formatCode>General</c:formatCode>
                <c:ptCount val="3"/>
                <c:pt idx="0">
                  <c:v>32</c:v>
                </c:pt>
                <c:pt idx="1">
                  <c:v>175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99-45E5-B655-E7F4D8462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045736"/>
        <c:axId val="703913560"/>
      </c:barChart>
      <c:catAx>
        <c:axId val="181045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913560"/>
        <c:crosses val="autoZero"/>
        <c:auto val="1"/>
        <c:lblAlgn val="ctr"/>
        <c:lblOffset val="100"/>
        <c:noMultiLvlLbl val="0"/>
      </c:catAx>
      <c:valAx>
        <c:axId val="703913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45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Platelets!$H$11:$I$13</c:f>
              <c:multiLvlStrCache>
                <c:ptCount val="3"/>
                <c:lvl>
                  <c:pt idx="0">
                    <c:v>Low</c:v>
                  </c:pt>
                  <c:pt idx="1">
                    <c:v>Normal</c:v>
                  </c:pt>
                  <c:pt idx="2">
                    <c:v> High</c:v>
                  </c:pt>
                </c:lvl>
                <c:lvl>
                  <c:pt idx="0">
                    <c:v>&lt;150</c:v>
                  </c:pt>
                  <c:pt idx="1">
                    <c:v>150-450</c:v>
                  </c:pt>
                  <c:pt idx="2">
                    <c:v>&gt;450</c:v>
                  </c:pt>
                </c:lvl>
              </c:multiLvlStrCache>
            </c:multiLvlStrRef>
          </c:cat>
          <c:val>
            <c:numRef>
              <c:f>Platelets!$J$11:$J$13</c:f>
              <c:numCache>
                <c:formatCode>General</c:formatCode>
                <c:ptCount val="3"/>
                <c:pt idx="0">
                  <c:v>29</c:v>
                </c:pt>
                <c:pt idx="1">
                  <c:v>171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B4-49E4-B496-3F11A306F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7142056"/>
        <c:axId val="1764216808"/>
      </c:barChart>
      <c:catAx>
        <c:axId val="407142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216808"/>
        <c:crosses val="autoZero"/>
        <c:auto val="1"/>
        <c:lblAlgn val="ctr"/>
        <c:lblOffset val="100"/>
        <c:noMultiLvlLbl val="0"/>
      </c:catAx>
      <c:valAx>
        <c:axId val="1764216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142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243840</xdr:colOff>
      <xdr:row>3</xdr:row>
      <xdr:rowOff>121920</xdr:rowOff>
    </xdr:from>
    <xdr:to>
      <xdr:col>15</xdr:col>
      <xdr:colOff>548640</xdr:colOff>
      <xdr:row>18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94A6EF-5404-45DD-A519-CFDEAFE053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571500</xdr:colOff>
      <xdr:row>3</xdr:row>
      <xdr:rowOff>114300</xdr:rowOff>
    </xdr:from>
    <xdr:to>
      <xdr:col>23</xdr:col>
      <xdr:colOff>266700</xdr:colOff>
      <xdr:row>18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AE0031-8576-4F37-997A-524734CE05BC}"/>
            </a:ext>
            <a:ext uri="{147F2762-F138-4A5C-976F-8EAC2B608ADB}">
              <a16:predDERef xmlns:a16="http://schemas.microsoft.com/office/drawing/2014/main" pred="{EF94A6EF-5404-45DD-A519-CFDEAFE053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144780</xdr:colOff>
      <xdr:row>5</xdr:row>
      <xdr:rowOff>137160</xdr:rowOff>
    </xdr:from>
    <xdr:to>
      <xdr:col>17</xdr:col>
      <xdr:colOff>449580</xdr:colOff>
      <xdr:row>20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A96F48-5F7A-4705-B40D-FB4F1A4472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320040</xdr:colOff>
      <xdr:row>4</xdr:row>
      <xdr:rowOff>106680</xdr:rowOff>
    </xdr:from>
    <xdr:to>
      <xdr:col>20</xdr:col>
      <xdr:colOff>15240</xdr:colOff>
      <xdr:row>19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ADEA7C-2758-4D20-9147-89B2E4B1CA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</xdr:colOff>
      <xdr:row>3</xdr:row>
      <xdr:rowOff>160020</xdr:rowOff>
    </xdr:from>
    <xdr:to>
      <xdr:col>16</xdr:col>
      <xdr:colOff>327660</xdr:colOff>
      <xdr:row>18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0DAC35-BE61-464C-A570-3ED1977FBC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579120</xdr:colOff>
      <xdr:row>4</xdr:row>
      <xdr:rowOff>167640</xdr:rowOff>
    </xdr:from>
    <xdr:to>
      <xdr:col>18</xdr:col>
      <xdr:colOff>274320</xdr:colOff>
      <xdr:row>19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F0133C-D42B-4B73-BAD2-402DB495A1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121920</xdr:colOff>
      <xdr:row>9</xdr:row>
      <xdr:rowOff>15240</xdr:rowOff>
    </xdr:from>
    <xdr:to>
      <xdr:col>21</xdr:col>
      <xdr:colOff>426720</xdr:colOff>
      <xdr:row>24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8B6D15-BCA0-4371-96A7-A853A4F202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259080</xdr:colOff>
      <xdr:row>21</xdr:row>
      <xdr:rowOff>7620</xdr:rowOff>
    </xdr:from>
    <xdr:to>
      <xdr:col>16</xdr:col>
      <xdr:colOff>563880</xdr:colOff>
      <xdr:row>36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694440-8C34-4DF0-B315-438049FD32B1}"/>
            </a:ext>
            <a:ext uri="{147F2762-F138-4A5C-976F-8EAC2B608ADB}">
              <a16:predDERef xmlns:a16="http://schemas.microsoft.com/office/drawing/2014/main" pred="{298B6D15-BCA0-4371-96A7-A853A4F202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510540</xdr:colOff>
      <xdr:row>3</xdr:row>
      <xdr:rowOff>175260</xdr:rowOff>
    </xdr:from>
    <xdr:to>
      <xdr:col>17</xdr:col>
      <xdr:colOff>205740</xdr:colOff>
      <xdr:row>18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196DE6-E61C-4DAA-B0BB-4D9B8880F1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480060</xdr:colOff>
      <xdr:row>10</xdr:row>
      <xdr:rowOff>45720</xdr:rowOff>
    </xdr:from>
    <xdr:to>
      <xdr:col>22</xdr:col>
      <xdr:colOff>175260</xdr:colOff>
      <xdr:row>25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939AB2-2126-4658-A22E-C9F4414E40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365760</xdr:colOff>
      <xdr:row>20</xdr:row>
      <xdr:rowOff>106680</xdr:rowOff>
    </xdr:from>
    <xdr:to>
      <xdr:col>14</xdr:col>
      <xdr:colOff>15240</xdr:colOff>
      <xdr:row>35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1368BC-CF1D-4A35-8938-30C3123A6BD4}"/>
            </a:ext>
            <a:ext uri="{147F2762-F138-4A5C-976F-8EAC2B608ADB}">
              <a16:predDERef xmlns:a16="http://schemas.microsoft.com/office/drawing/2014/main" pred="{1F939AB2-2126-4658-A22E-C9F4414E40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</xdr:colOff>
      <xdr:row>10</xdr:row>
      <xdr:rowOff>0</xdr:rowOff>
    </xdr:from>
    <xdr:to>
      <xdr:col>17</xdr:col>
      <xdr:colOff>327660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BD224C-C9D8-4460-BB7C-A73E4E6B61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22860</xdr:colOff>
      <xdr:row>25</xdr:row>
      <xdr:rowOff>38100</xdr:rowOff>
    </xdr:from>
    <xdr:to>
      <xdr:col>17</xdr:col>
      <xdr:colOff>327660</xdr:colOff>
      <xdr:row>40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4802D6-59D0-4BA2-AC28-9519645D689C}"/>
            </a:ext>
            <a:ext uri="{147F2762-F138-4A5C-976F-8EAC2B608ADB}">
              <a16:predDERef xmlns:a16="http://schemas.microsoft.com/office/drawing/2014/main" pred="{B5BD224C-C9D8-4460-BB7C-A73E4E6B61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601980</xdr:colOff>
      <xdr:row>7</xdr:row>
      <xdr:rowOff>167640</xdr:rowOff>
    </xdr:from>
    <xdr:to>
      <xdr:col>17</xdr:col>
      <xdr:colOff>297180</xdr:colOff>
      <xdr:row>22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7D6CE6-4C1C-4F3E-814F-B39E542F11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15240</xdr:colOff>
      <xdr:row>23</xdr:row>
      <xdr:rowOff>129540</xdr:rowOff>
    </xdr:from>
    <xdr:to>
      <xdr:col>17</xdr:col>
      <xdr:colOff>320040</xdr:colOff>
      <xdr:row>38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4C8FC6-D1E2-49BC-BBF5-8E898D1E0CC7}"/>
            </a:ext>
            <a:ext uri="{147F2762-F138-4A5C-976F-8EAC2B608ADB}">
              <a16:predDERef xmlns:a16="http://schemas.microsoft.com/office/drawing/2014/main" pred="{757D6CE6-4C1C-4F3E-814F-B39E542F11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556260</xdr:colOff>
      <xdr:row>1</xdr:row>
      <xdr:rowOff>7620</xdr:rowOff>
    </xdr:from>
    <xdr:to>
      <xdr:col>21</xdr:col>
      <xdr:colOff>251460</xdr:colOff>
      <xdr:row>15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9B5056-91C8-41D0-9701-5A0ADD378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83820</xdr:colOff>
      <xdr:row>16</xdr:row>
      <xdr:rowOff>114300</xdr:rowOff>
    </xdr:from>
    <xdr:to>
      <xdr:col>21</xdr:col>
      <xdr:colOff>388620</xdr:colOff>
      <xdr:row>31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BB02BE-5225-4FF7-9B15-484F475067B5}"/>
            </a:ext>
            <a:ext uri="{147F2762-F138-4A5C-976F-8EAC2B608ADB}">
              <a16:predDERef xmlns:a16="http://schemas.microsoft.com/office/drawing/2014/main" pred="{AE9B5056-91C8-41D0-9701-5A0ADD378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16</xdr:row>
      <xdr:rowOff>0</xdr:rowOff>
    </xdr:from>
    <xdr:to>
      <xdr:col>13</xdr:col>
      <xdr:colOff>220980</xdr:colOff>
      <xdr:row>36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51787AC-33CF-466C-9123-A37F822E19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594360</xdr:colOff>
      <xdr:row>16</xdr:row>
      <xdr:rowOff>3810</xdr:rowOff>
    </xdr:from>
    <xdr:to>
      <xdr:col>10</xdr:col>
      <xdr:colOff>327660</xdr:colOff>
      <xdr:row>30</xdr:row>
      <xdr:rowOff>177165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CDEBA9-9A91-478C-BC5A-C95963F306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396240</xdr:colOff>
      <xdr:row>3</xdr:row>
      <xdr:rowOff>177165</xdr:rowOff>
    </xdr:from>
    <xdr:to>
      <xdr:col>17</xdr:col>
      <xdr:colOff>91440</xdr:colOff>
      <xdr:row>18</xdr:row>
      <xdr:rowOff>13335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FE8BBB-E250-46C6-B337-7934C3CC68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179070</xdr:colOff>
      <xdr:row>3</xdr:row>
      <xdr:rowOff>51435</xdr:rowOff>
    </xdr:from>
    <xdr:to>
      <xdr:col>16</xdr:col>
      <xdr:colOff>483870</xdr:colOff>
      <xdr:row>16</xdr:row>
      <xdr:rowOff>139065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69041D-B71F-4A6D-BAD0-36850E16A0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18</xdr:row>
      <xdr:rowOff>0</xdr:rowOff>
    </xdr:from>
    <xdr:to>
      <xdr:col>14</xdr:col>
      <xdr:colOff>304800</xdr:colOff>
      <xdr:row>38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D9B0BA-16A1-40F6-BAF2-F9B04BC4A4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219075</xdr:colOff>
      <xdr:row>3</xdr:row>
      <xdr:rowOff>190500</xdr:rowOff>
    </xdr:from>
    <xdr:to>
      <xdr:col>19</xdr:col>
      <xdr:colOff>523875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6D1C81-70F8-491D-8EE1-9D6E47CFB5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15</xdr:row>
      <xdr:rowOff>99392</xdr:rowOff>
    </xdr:from>
    <xdr:to>
      <xdr:col>12</xdr:col>
      <xdr:colOff>318052</xdr:colOff>
      <xdr:row>37</xdr:row>
      <xdr:rowOff>26503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0203B4-3BA4-47E7-AC7F-EEE12CEC8D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</xdr:colOff>
      <xdr:row>2</xdr:row>
      <xdr:rowOff>257175</xdr:rowOff>
    </xdr:from>
    <xdr:to>
      <xdr:col>18</xdr:col>
      <xdr:colOff>314325</xdr:colOff>
      <xdr:row>16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9AD5A3-7AFE-455B-954A-60A1CDFBE6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579120</xdr:colOff>
      <xdr:row>15</xdr:row>
      <xdr:rowOff>76200</xdr:rowOff>
    </xdr:from>
    <xdr:to>
      <xdr:col>10</xdr:col>
      <xdr:colOff>510540</xdr:colOff>
      <xdr:row>33</xdr:row>
      <xdr:rowOff>99060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886E9A-582C-4B9D-80B5-0142E9D7A7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571500</xdr:colOff>
      <xdr:row>4</xdr:row>
      <xdr:rowOff>0</xdr:rowOff>
    </xdr:from>
    <xdr:to>
      <xdr:col>18</xdr:col>
      <xdr:colOff>266700</xdr:colOff>
      <xdr:row>17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9575A0-25EF-4176-9890-4FA4C6B5F5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28575</xdr:colOff>
      <xdr:row>2</xdr:row>
      <xdr:rowOff>381000</xdr:rowOff>
    </xdr:from>
    <xdr:to>
      <xdr:col>18</xdr:col>
      <xdr:colOff>333375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E50D8B-D191-4809-9115-FD243B105F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1"/>
  <sheetViews>
    <sheetView workbookViewId="0">
      <selection activeCell="K78" sqref="K78"/>
    </sheetView>
  </sheetViews>
  <sheetFormatPr defaultRowHeight="14.4" x14ac:dyDescent="0.3"/>
  <cols>
    <col min="7" max="7" width="12.6640625" customWidth="1"/>
    <col min="11" max="11" width="11.33203125" customWidth="1"/>
  </cols>
  <sheetData>
    <row r="1" spans="1:20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</row>
    <row r="2" spans="1:20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1:20" x14ac:dyDescent="0.3">
      <c r="A3">
        <v>400</v>
      </c>
      <c r="B3" t="s">
        <v>18</v>
      </c>
      <c r="C3" t="s">
        <v>19</v>
      </c>
      <c r="D3">
        <v>21464</v>
      </c>
      <c r="E3" t="s">
        <v>20</v>
      </c>
      <c r="F3" t="s">
        <v>21</v>
      </c>
      <c r="G3" t="s">
        <v>21</v>
      </c>
      <c r="H3" t="s">
        <v>21</v>
      </c>
      <c r="I3" t="s">
        <v>21</v>
      </c>
      <c r="J3">
        <v>14.5</v>
      </c>
      <c r="K3">
        <v>261</v>
      </c>
      <c r="L3">
        <v>2.6</v>
      </c>
      <c r="M3">
        <v>156</v>
      </c>
      <c r="N3">
        <v>137.94999999999999</v>
      </c>
      <c r="O3">
        <v>172</v>
      </c>
      <c r="P3">
        <v>190</v>
      </c>
      <c r="Q3">
        <v>12.2</v>
      </c>
      <c r="R3">
        <v>4</v>
      </c>
      <c r="T3" s="1" t="s">
        <v>22</v>
      </c>
    </row>
    <row r="4" spans="1:20" x14ac:dyDescent="0.3">
      <c r="A4">
        <v>4500</v>
      </c>
      <c r="B4" t="s">
        <v>23</v>
      </c>
      <c r="C4" t="s">
        <v>19</v>
      </c>
      <c r="D4">
        <v>20617</v>
      </c>
      <c r="E4" t="s">
        <v>20</v>
      </c>
      <c r="F4" t="s">
        <v>24</v>
      </c>
      <c r="G4" t="s">
        <v>21</v>
      </c>
      <c r="H4" t="s">
        <v>21</v>
      </c>
      <c r="I4" t="s">
        <v>24</v>
      </c>
      <c r="J4">
        <v>1.1000000000000001</v>
      </c>
      <c r="K4">
        <v>302</v>
      </c>
      <c r="L4">
        <v>4.1399999999999997</v>
      </c>
      <c r="M4">
        <v>54</v>
      </c>
      <c r="N4">
        <v>113.52</v>
      </c>
      <c r="O4">
        <v>88</v>
      </c>
      <c r="P4">
        <v>221</v>
      </c>
      <c r="Q4">
        <v>10.6</v>
      </c>
      <c r="R4">
        <v>3</v>
      </c>
      <c r="T4" s="1" t="s">
        <v>25</v>
      </c>
    </row>
    <row r="5" spans="1:20" x14ac:dyDescent="0.3">
      <c r="A5">
        <v>1012</v>
      </c>
      <c r="B5" t="s">
        <v>18</v>
      </c>
      <c r="C5" t="s">
        <v>19</v>
      </c>
      <c r="D5">
        <v>25594</v>
      </c>
      <c r="E5" t="s">
        <v>26</v>
      </c>
      <c r="F5" t="s">
        <v>24</v>
      </c>
      <c r="G5" t="s">
        <v>24</v>
      </c>
      <c r="H5" t="s">
        <v>24</v>
      </c>
      <c r="I5" t="s">
        <v>27</v>
      </c>
      <c r="J5">
        <v>1.4</v>
      </c>
      <c r="K5">
        <v>176</v>
      </c>
      <c r="L5">
        <v>3.48</v>
      </c>
      <c r="M5">
        <v>210</v>
      </c>
      <c r="N5">
        <v>96.1</v>
      </c>
      <c r="O5">
        <v>55</v>
      </c>
      <c r="P5">
        <v>151</v>
      </c>
      <c r="Q5">
        <v>12</v>
      </c>
      <c r="R5">
        <v>4</v>
      </c>
      <c r="T5" s="1" t="s">
        <v>28</v>
      </c>
    </row>
    <row r="6" spans="1:20" x14ac:dyDescent="0.3">
      <c r="A6">
        <v>1925</v>
      </c>
      <c r="B6" t="s">
        <v>18</v>
      </c>
      <c r="C6" t="s">
        <v>19</v>
      </c>
      <c r="D6">
        <v>19994</v>
      </c>
      <c r="E6" t="s">
        <v>20</v>
      </c>
      <c r="F6" t="s">
        <v>24</v>
      </c>
      <c r="G6" t="s">
        <v>21</v>
      </c>
      <c r="H6" t="s">
        <v>21</v>
      </c>
      <c r="I6" t="s">
        <v>27</v>
      </c>
      <c r="J6">
        <v>1.8</v>
      </c>
      <c r="K6">
        <v>244</v>
      </c>
      <c r="L6">
        <v>2.54</v>
      </c>
      <c r="M6">
        <v>64</v>
      </c>
      <c r="N6">
        <v>60.63</v>
      </c>
      <c r="O6">
        <v>92</v>
      </c>
      <c r="P6">
        <v>183</v>
      </c>
      <c r="Q6">
        <v>10.3</v>
      </c>
      <c r="R6">
        <v>4</v>
      </c>
      <c r="T6" s="1" t="s">
        <v>29</v>
      </c>
    </row>
    <row r="7" spans="1:20" x14ac:dyDescent="0.3">
      <c r="A7">
        <v>1504</v>
      </c>
      <c r="B7" t="s">
        <v>30</v>
      </c>
      <c r="C7" t="s">
        <v>31</v>
      </c>
      <c r="D7">
        <v>13918</v>
      </c>
      <c r="E7" t="s">
        <v>20</v>
      </c>
      <c r="F7" t="s">
        <v>24</v>
      </c>
      <c r="G7" t="s">
        <v>21</v>
      </c>
      <c r="H7" t="s">
        <v>21</v>
      </c>
      <c r="I7" t="s">
        <v>24</v>
      </c>
      <c r="J7">
        <v>3.4</v>
      </c>
      <c r="K7">
        <v>279</v>
      </c>
      <c r="L7">
        <v>3.53</v>
      </c>
      <c r="M7">
        <v>143</v>
      </c>
      <c r="N7">
        <v>113.15</v>
      </c>
      <c r="O7">
        <v>72</v>
      </c>
      <c r="P7">
        <v>136</v>
      </c>
      <c r="Q7">
        <v>10.9</v>
      </c>
      <c r="R7">
        <v>3</v>
      </c>
      <c r="T7" s="1" t="s">
        <v>32</v>
      </c>
    </row>
    <row r="8" spans="1:20" x14ac:dyDescent="0.3">
      <c r="A8">
        <v>2503</v>
      </c>
      <c r="B8" t="s">
        <v>18</v>
      </c>
      <c r="C8" t="s">
        <v>31</v>
      </c>
      <c r="D8">
        <v>24201</v>
      </c>
      <c r="E8" t="s">
        <v>20</v>
      </c>
      <c r="F8" t="s">
        <v>24</v>
      </c>
      <c r="G8" t="s">
        <v>21</v>
      </c>
      <c r="H8" t="s">
        <v>24</v>
      </c>
      <c r="I8" t="s">
        <v>24</v>
      </c>
      <c r="J8">
        <v>0.8</v>
      </c>
      <c r="K8">
        <v>248</v>
      </c>
      <c r="L8">
        <v>3.98</v>
      </c>
      <c r="M8">
        <v>50</v>
      </c>
      <c r="N8">
        <v>93</v>
      </c>
      <c r="O8">
        <v>63</v>
      </c>
      <c r="P8" s="10" t="s">
        <v>33</v>
      </c>
      <c r="Q8">
        <v>11</v>
      </c>
      <c r="R8">
        <v>3</v>
      </c>
      <c r="T8" s="1" t="s">
        <v>34</v>
      </c>
    </row>
    <row r="9" spans="1:20" x14ac:dyDescent="0.3">
      <c r="A9">
        <v>1832</v>
      </c>
      <c r="B9" t="s">
        <v>23</v>
      </c>
      <c r="C9" t="s">
        <v>31</v>
      </c>
      <c r="D9">
        <v>20284</v>
      </c>
      <c r="E9" t="s">
        <v>20</v>
      </c>
      <c r="F9" t="s">
        <v>24</v>
      </c>
      <c r="G9" t="s">
        <v>21</v>
      </c>
      <c r="H9" t="s">
        <v>24</v>
      </c>
      <c r="I9" t="s">
        <v>24</v>
      </c>
      <c r="J9">
        <v>1</v>
      </c>
      <c r="K9">
        <v>322</v>
      </c>
      <c r="L9">
        <v>4.09</v>
      </c>
      <c r="M9">
        <v>52</v>
      </c>
      <c r="N9">
        <v>60.45</v>
      </c>
      <c r="O9">
        <v>213</v>
      </c>
      <c r="P9">
        <v>204</v>
      </c>
      <c r="Q9">
        <v>9.6999999999999993</v>
      </c>
      <c r="R9">
        <v>3</v>
      </c>
      <c r="T9" s="1" t="s">
        <v>35</v>
      </c>
    </row>
    <row r="10" spans="1:20" x14ac:dyDescent="0.3">
      <c r="A10">
        <v>2466</v>
      </c>
      <c r="B10" t="s">
        <v>18</v>
      </c>
      <c r="C10" t="s">
        <v>31</v>
      </c>
      <c r="D10">
        <v>19379</v>
      </c>
      <c r="E10" t="s">
        <v>20</v>
      </c>
      <c r="F10" t="s">
        <v>24</v>
      </c>
      <c r="G10" t="s">
        <v>24</v>
      </c>
      <c r="H10" t="s">
        <v>24</v>
      </c>
      <c r="I10" t="s">
        <v>24</v>
      </c>
      <c r="J10">
        <v>0.3</v>
      </c>
      <c r="K10">
        <v>280</v>
      </c>
      <c r="L10">
        <v>4</v>
      </c>
      <c r="M10">
        <v>52</v>
      </c>
      <c r="N10">
        <v>28.38</v>
      </c>
      <c r="O10">
        <v>189</v>
      </c>
      <c r="P10">
        <v>373</v>
      </c>
      <c r="Q10">
        <v>11</v>
      </c>
      <c r="R10">
        <v>3</v>
      </c>
      <c r="T10" s="1" t="s">
        <v>36</v>
      </c>
    </row>
    <row r="11" spans="1:20" x14ac:dyDescent="0.3">
      <c r="A11">
        <v>2400</v>
      </c>
      <c r="B11" t="s">
        <v>18</v>
      </c>
      <c r="C11" t="s">
        <v>19</v>
      </c>
      <c r="D11">
        <v>15526</v>
      </c>
      <c r="E11" t="s">
        <v>20</v>
      </c>
      <c r="F11" t="s">
        <v>24</v>
      </c>
      <c r="G11" t="s">
        <v>24</v>
      </c>
      <c r="H11" t="s">
        <v>21</v>
      </c>
      <c r="I11" t="s">
        <v>24</v>
      </c>
      <c r="J11">
        <v>3.2</v>
      </c>
      <c r="K11">
        <v>562</v>
      </c>
      <c r="L11">
        <v>3.08</v>
      </c>
      <c r="M11">
        <v>79</v>
      </c>
      <c r="N11">
        <v>144.15</v>
      </c>
      <c r="O11">
        <v>88</v>
      </c>
      <c r="P11">
        <v>251</v>
      </c>
      <c r="Q11">
        <v>11</v>
      </c>
      <c r="R11">
        <v>2</v>
      </c>
      <c r="T11" s="1" t="s">
        <v>37</v>
      </c>
    </row>
    <row r="12" spans="1:20" x14ac:dyDescent="0.3">
      <c r="A12">
        <v>51</v>
      </c>
      <c r="B12" t="s">
        <v>18</v>
      </c>
      <c r="C12" t="s">
        <v>31</v>
      </c>
      <c r="D12">
        <v>25772</v>
      </c>
      <c r="E12" t="s">
        <v>20</v>
      </c>
      <c r="F12" t="s">
        <v>21</v>
      </c>
      <c r="G12" t="s">
        <v>24</v>
      </c>
      <c r="H12" t="s">
        <v>21</v>
      </c>
      <c r="I12" t="s">
        <v>21</v>
      </c>
      <c r="J12">
        <v>12.6</v>
      </c>
      <c r="K12">
        <v>200</v>
      </c>
      <c r="L12">
        <v>2.74</v>
      </c>
      <c r="M12">
        <v>140</v>
      </c>
      <c r="N12">
        <v>147.25</v>
      </c>
      <c r="O12">
        <v>143</v>
      </c>
      <c r="P12">
        <v>302</v>
      </c>
      <c r="Q12">
        <v>11.5</v>
      </c>
      <c r="R12">
        <v>4</v>
      </c>
      <c r="T12" s="1" t="s">
        <v>38</v>
      </c>
    </row>
    <row r="13" spans="1:20" x14ac:dyDescent="0.3">
      <c r="A13">
        <v>3762</v>
      </c>
      <c r="B13" t="s">
        <v>18</v>
      </c>
      <c r="C13" t="s">
        <v>31</v>
      </c>
      <c r="D13">
        <v>19619</v>
      </c>
      <c r="E13" t="s">
        <v>20</v>
      </c>
      <c r="F13" t="s">
        <v>24</v>
      </c>
      <c r="G13" t="s">
        <v>21</v>
      </c>
      <c r="H13" t="s">
        <v>21</v>
      </c>
      <c r="I13" t="s">
        <v>24</v>
      </c>
      <c r="J13">
        <v>1.4</v>
      </c>
      <c r="K13">
        <v>259</v>
      </c>
      <c r="L13">
        <v>4.16</v>
      </c>
      <c r="M13">
        <v>46</v>
      </c>
      <c r="N13">
        <v>79.05</v>
      </c>
      <c r="O13">
        <v>79</v>
      </c>
      <c r="P13">
        <v>258</v>
      </c>
      <c r="Q13">
        <v>12</v>
      </c>
      <c r="R13">
        <v>4</v>
      </c>
      <c r="T13" s="1" t="s">
        <v>39</v>
      </c>
    </row>
    <row r="14" spans="1:20" x14ac:dyDescent="0.3">
      <c r="A14">
        <v>304</v>
      </c>
      <c r="B14" t="s">
        <v>18</v>
      </c>
      <c r="C14" t="s">
        <v>31</v>
      </c>
      <c r="D14">
        <v>21600</v>
      </c>
      <c r="E14" t="s">
        <v>20</v>
      </c>
      <c r="F14" t="s">
        <v>24</v>
      </c>
      <c r="G14" t="s">
        <v>24</v>
      </c>
      <c r="H14" t="s">
        <v>21</v>
      </c>
      <c r="I14" t="s">
        <v>24</v>
      </c>
      <c r="J14">
        <v>3.6</v>
      </c>
      <c r="K14">
        <v>236</v>
      </c>
      <c r="L14">
        <v>3.52</v>
      </c>
      <c r="M14">
        <v>94</v>
      </c>
      <c r="N14">
        <v>82.15</v>
      </c>
      <c r="O14">
        <v>95</v>
      </c>
      <c r="P14">
        <v>71</v>
      </c>
      <c r="Q14">
        <v>13.6</v>
      </c>
      <c r="R14">
        <v>4</v>
      </c>
      <c r="T14" s="1" t="s">
        <v>40</v>
      </c>
    </row>
    <row r="15" spans="1:20" x14ac:dyDescent="0.3">
      <c r="A15">
        <v>3577</v>
      </c>
      <c r="B15" t="s">
        <v>23</v>
      </c>
      <c r="C15" t="s">
        <v>31</v>
      </c>
      <c r="D15">
        <v>16688</v>
      </c>
      <c r="E15" t="s">
        <v>20</v>
      </c>
      <c r="F15" t="s">
        <v>24</v>
      </c>
      <c r="G15" t="s">
        <v>24</v>
      </c>
      <c r="H15" t="s">
        <v>24</v>
      </c>
      <c r="I15" t="s">
        <v>24</v>
      </c>
      <c r="J15">
        <v>0.7</v>
      </c>
      <c r="K15">
        <v>281</v>
      </c>
      <c r="L15">
        <v>3.85</v>
      </c>
      <c r="M15">
        <v>40</v>
      </c>
      <c r="N15">
        <v>88.35</v>
      </c>
      <c r="O15">
        <v>130</v>
      </c>
      <c r="P15">
        <v>244</v>
      </c>
      <c r="Q15">
        <v>10.6</v>
      </c>
      <c r="R15">
        <v>3</v>
      </c>
      <c r="T15" s="1" t="s">
        <v>41</v>
      </c>
    </row>
    <row r="16" spans="1:20" x14ac:dyDescent="0.3">
      <c r="A16">
        <v>1217</v>
      </c>
      <c r="B16" t="s">
        <v>18</v>
      </c>
      <c r="C16" t="s">
        <v>31</v>
      </c>
      <c r="D16">
        <v>20535</v>
      </c>
      <c r="E16" t="s">
        <v>26</v>
      </c>
      <c r="F16" t="s">
        <v>21</v>
      </c>
      <c r="G16" t="s">
        <v>21</v>
      </c>
      <c r="H16" t="s">
        <v>24</v>
      </c>
      <c r="I16" t="s">
        <v>21</v>
      </c>
      <c r="J16">
        <v>0.8</v>
      </c>
      <c r="K16" s="10" t="s">
        <v>33</v>
      </c>
      <c r="L16">
        <v>2.27</v>
      </c>
      <c r="M16">
        <v>43</v>
      </c>
      <c r="N16">
        <v>71</v>
      </c>
      <c r="O16" s="10" t="s">
        <v>33</v>
      </c>
      <c r="P16">
        <v>156</v>
      </c>
      <c r="Q16">
        <v>11</v>
      </c>
      <c r="R16">
        <v>4</v>
      </c>
      <c r="T16" s="1" t="s">
        <v>42</v>
      </c>
    </row>
    <row r="17" spans="1:20" x14ac:dyDescent="0.3">
      <c r="A17">
        <v>3584</v>
      </c>
      <c r="B17" t="s">
        <v>18</v>
      </c>
      <c r="C17" t="s">
        <v>19</v>
      </c>
      <c r="D17">
        <v>23612</v>
      </c>
      <c r="E17" t="s">
        <v>20</v>
      </c>
      <c r="F17" t="s">
        <v>24</v>
      </c>
      <c r="G17" t="s">
        <v>24</v>
      </c>
      <c r="H17" t="s">
        <v>24</v>
      </c>
      <c r="I17" t="s">
        <v>24</v>
      </c>
      <c r="J17">
        <v>0.8</v>
      </c>
      <c r="K17">
        <v>231</v>
      </c>
      <c r="L17">
        <v>3.87</v>
      </c>
      <c r="M17">
        <v>173</v>
      </c>
      <c r="N17">
        <v>127.71</v>
      </c>
      <c r="O17">
        <v>96</v>
      </c>
      <c r="P17">
        <v>295</v>
      </c>
      <c r="Q17">
        <v>11</v>
      </c>
      <c r="R17">
        <v>3</v>
      </c>
      <c r="T17" s="1" t="s">
        <v>43</v>
      </c>
    </row>
    <row r="18" spans="1:20" x14ac:dyDescent="0.3">
      <c r="A18">
        <v>3672</v>
      </c>
      <c r="B18" t="s">
        <v>23</v>
      </c>
      <c r="C18" t="s">
        <v>31</v>
      </c>
      <c r="D18">
        <v>14772</v>
      </c>
      <c r="E18" t="s">
        <v>20</v>
      </c>
      <c r="F18" t="s">
        <v>24</v>
      </c>
      <c r="G18" t="s">
        <v>24</v>
      </c>
      <c r="H18" t="s">
        <v>24</v>
      </c>
      <c r="I18" t="s">
        <v>24</v>
      </c>
      <c r="J18">
        <v>0.7</v>
      </c>
      <c r="K18">
        <v>204</v>
      </c>
      <c r="L18">
        <v>3.66</v>
      </c>
      <c r="M18">
        <v>28</v>
      </c>
      <c r="N18">
        <v>72.849999999999994</v>
      </c>
      <c r="O18">
        <v>58</v>
      </c>
      <c r="P18">
        <v>198</v>
      </c>
      <c r="Q18">
        <v>10.8</v>
      </c>
      <c r="R18">
        <v>3</v>
      </c>
      <c r="T18" s="1" t="s">
        <v>44</v>
      </c>
    </row>
    <row r="19" spans="1:20" x14ac:dyDescent="0.3">
      <c r="A19">
        <v>769</v>
      </c>
      <c r="B19" t="s">
        <v>18</v>
      </c>
      <c r="C19" t="s">
        <v>31</v>
      </c>
      <c r="D19">
        <v>19060</v>
      </c>
      <c r="E19" t="s">
        <v>20</v>
      </c>
      <c r="F19" t="s">
        <v>24</v>
      </c>
      <c r="G19" t="s">
        <v>21</v>
      </c>
      <c r="H19" t="s">
        <v>24</v>
      </c>
      <c r="I19" t="s">
        <v>24</v>
      </c>
      <c r="J19">
        <v>2.7</v>
      </c>
      <c r="K19">
        <v>274</v>
      </c>
      <c r="L19">
        <v>3.15</v>
      </c>
      <c r="M19">
        <v>159</v>
      </c>
      <c r="N19">
        <v>117.8</v>
      </c>
      <c r="O19">
        <v>128</v>
      </c>
      <c r="P19">
        <v>224</v>
      </c>
      <c r="Q19">
        <v>10.5</v>
      </c>
      <c r="R19">
        <v>4</v>
      </c>
      <c r="T19" s="1" t="s">
        <v>45</v>
      </c>
    </row>
    <row r="20" spans="1:20" x14ac:dyDescent="0.3">
      <c r="A20">
        <v>131</v>
      </c>
      <c r="B20" t="s">
        <v>18</v>
      </c>
      <c r="C20" t="s">
        <v>19</v>
      </c>
      <c r="D20">
        <v>19698</v>
      </c>
      <c r="E20" t="s">
        <v>20</v>
      </c>
      <c r="F20" t="s">
        <v>24</v>
      </c>
      <c r="G20" t="s">
        <v>21</v>
      </c>
      <c r="H20" t="s">
        <v>21</v>
      </c>
      <c r="I20" t="s">
        <v>21</v>
      </c>
      <c r="J20">
        <v>11.4</v>
      </c>
      <c r="K20">
        <v>178</v>
      </c>
      <c r="L20">
        <v>2.8</v>
      </c>
      <c r="M20">
        <v>588</v>
      </c>
      <c r="N20">
        <v>280.55</v>
      </c>
      <c r="O20">
        <v>200</v>
      </c>
      <c r="P20">
        <v>283</v>
      </c>
      <c r="Q20">
        <v>12.4</v>
      </c>
      <c r="R20">
        <v>4</v>
      </c>
      <c r="T20" s="2" t="s">
        <v>46</v>
      </c>
    </row>
    <row r="21" spans="1:20" x14ac:dyDescent="0.3">
      <c r="A21">
        <v>4232</v>
      </c>
      <c r="B21" t="s">
        <v>23</v>
      </c>
      <c r="C21" t="s">
        <v>19</v>
      </c>
      <c r="D21">
        <v>18102</v>
      </c>
      <c r="E21" t="s">
        <v>20</v>
      </c>
      <c r="F21" t="s">
        <v>24</v>
      </c>
      <c r="G21" t="s">
        <v>21</v>
      </c>
      <c r="H21" t="s">
        <v>24</v>
      </c>
      <c r="I21" t="s">
        <v>27</v>
      </c>
      <c r="J21">
        <v>0.7</v>
      </c>
      <c r="K21">
        <v>235</v>
      </c>
      <c r="L21">
        <v>3.56</v>
      </c>
      <c r="M21">
        <v>39</v>
      </c>
      <c r="N21">
        <v>93</v>
      </c>
      <c r="O21">
        <v>123</v>
      </c>
      <c r="P21">
        <v>209</v>
      </c>
      <c r="Q21">
        <v>11</v>
      </c>
      <c r="R21">
        <v>3</v>
      </c>
      <c r="T21" s="2"/>
    </row>
    <row r="22" spans="1:20" x14ac:dyDescent="0.3">
      <c r="A22">
        <v>1356</v>
      </c>
      <c r="B22" t="s">
        <v>18</v>
      </c>
      <c r="C22" t="s">
        <v>31</v>
      </c>
      <c r="D22">
        <v>21898</v>
      </c>
      <c r="E22" t="s">
        <v>20</v>
      </c>
      <c r="F22" t="s">
        <v>24</v>
      </c>
      <c r="G22" t="s">
        <v>21</v>
      </c>
      <c r="H22" t="s">
        <v>24</v>
      </c>
      <c r="I22" t="s">
        <v>24</v>
      </c>
      <c r="J22">
        <v>5.0999999999999996</v>
      </c>
      <c r="K22">
        <v>374</v>
      </c>
      <c r="L22">
        <v>3.51</v>
      </c>
      <c r="M22">
        <v>140</v>
      </c>
      <c r="N22">
        <v>122.45</v>
      </c>
      <c r="O22">
        <v>135</v>
      </c>
      <c r="P22">
        <v>322</v>
      </c>
      <c r="Q22">
        <v>13</v>
      </c>
      <c r="R22">
        <v>4</v>
      </c>
    </row>
    <row r="23" spans="1:20" x14ac:dyDescent="0.3">
      <c r="A23">
        <v>3445</v>
      </c>
      <c r="B23" t="s">
        <v>23</v>
      </c>
      <c r="C23" t="s">
        <v>31</v>
      </c>
      <c r="D23">
        <v>23445</v>
      </c>
      <c r="E23" t="s">
        <v>26</v>
      </c>
      <c r="F23" t="s">
        <v>24</v>
      </c>
      <c r="G23" t="s">
        <v>21</v>
      </c>
      <c r="H23" t="s">
        <v>21</v>
      </c>
      <c r="I23" t="s">
        <v>24</v>
      </c>
      <c r="J23">
        <v>0.6</v>
      </c>
      <c r="K23">
        <v>252</v>
      </c>
      <c r="L23">
        <v>3.83</v>
      </c>
      <c r="M23">
        <v>41</v>
      </c>
      <c r="N23">
        <v>65.099999999999994</v>
      </c>
      <c r="O23">
        <v>83</v>
      </c>
      <c r="P23">
        <v>336</v>
      </c>
      <c r="Q23">
        <v>11.4</v>
      </c>
      <c r="R23">
        <v>4</v>
      </c>
    </row>
    <row r="24" spans="1:20" x14ac:dyDescent="0.3">
      <c r="A24">
        <v>673</v>
      </c>
      <c r="B24" t="s">
        <v>18</v>
      </c>
      <c r="C24" t="s">
        <v>19</v>
      </c>
      <c r="D24">
        <v>20555</v>
      </c>
      <c r="E24" t="s">
        <v>20</v>
      </c>
      <c r="F24" t="s">
        <v>24</v>
      </c>
      <c r="G24" t="s">
        <v>24</v>
      </c>
      <c r="H24" t="s">
        <v>21</v>
      </c>
      <c r="I24" t="s">
        <v>24</v>
      </c>
      <c r="J24">
        <v>3.4</v>
      </c>
      <c r="K24">
        <v>271</v>
      </c>
      <c r="L24">
        <v>3.63</v>
      </c>
      <c r="M24">
        <v>464</v>
      </c>
      <c r="N24">
        <v>120.9</v>
      </c>
      <c r="O24">
        <v>55</v>
      </c>
      <c r="P24">
        <v>173</v>
      </c>
      <c r="Q24">
        <v>11.6</v>
      </c>
      <c r="R24">
        <v>4</v>
      </c>
    </row>
    <row r="25" spans="1:20" x14ac:dyDescent="0.3">
      <c r="A25">
        <v>264</v>
      </c>
      <c r="B25" t="s">
        <v>18</v>
      </c>
      <c r="C25" t="s">
        <v>31</v>
      </c>
      <c r="D25">
        <v>20442</v>
      </c>
      <c r="E25" t="s">
        <v>20</v>
      </c>
      <c r="F25" t="s">
        <v>21</v>
      </c>
      <c r="G25" t="s">
        <v>21</v>
      </c>
      <c r="H25" t="s">
        <v>21</v>
      </c>
      <c r="I25" t="s">
        <v>21</v>
      </c>
      <c r="J25">
        <v>17.399999999999999</v>
      </c>
      <c r="K25">
        <v>395</v>
      </c>
      <c r="L25">
        <v>2.94</v>
      </c>
      <c r="M25">
        <v>558</v>
      </c>
      <c r="N25">
        <v>227.04</v>
      </c>
      <c r="O25">
        <v>191</v>
      </c>
      <c r="P25">
        <v>214</v>
      </c>
      <c r="Q25">
        <v>11.7</v>
      </c>
      <c r="R25">
        <v>4</v>
      </c>
    </row>
    <row r="26" spans="1:20" x14ac:dyDescent="0.3">
      <c r="A26">
        <v>4079</v>
      </c>
      <c r="B26" t="s">
        <v>18</v>
      </c>
      <c r="C26" t="s">
        <v>19</v>
      </c>
      <c r="D26">
        <v>16261</v>
      </c>
      <c r="E26" t="s">
        <v>26</v>
      </c>
      <c r="F26" t="s">
        <v>24</v>
      </c>
      <c r="G26" t="s">
        <v>21</v>
      </c>
      <c r="H26" t="s">
        <v>24</v>
      </c>
      <c r="I26" t="s">
        <v>24</v>
      </c>
      <c r="J26">
        <v>2.1</v>
      </c>
      <c r="K26">
        <v>456</v>
      </c>
      <c r="L26">
        <v>4</v>
      </c>
      <c r="M26">
        <v>124</v>
      </c>
      <c r="N26">
        <v>221.88</v>
      </c>
      <c r="O26">
        <v>230</v>
      </c>
      <c r="P26">
        <v>70</v>
      </c>
      <c r="Q26">
        <v>9.9</v>
      </c>
      <c r="R26">
        <v>2</v>
      </c>
    </row>
    <row r="27" spans="1:20" x14ac:dyDescent="0.3">
      <c r="A27">
        <v>4127</v>
      </c>
      <c r="B27" t="s">
        <v>23</v>
      </c>
      <c r="C27" t="s">
        <v>31</v>
      </c>
      <c r="D27">
        <v>16463</v>
      </c>
      <c r="E27" t="s">
        <v>20</v>
      </c>
      <c r="F27" t="s">
        <v>24</v>
      </c>
      <c r="G27" t="s">
        <v>24</v>
      </c>
      <c r="H27" t="s">
        <v>24</v>
      </c>
      <c r="I27" t="s">
        <v>24</v>
      </c>
      <c r="J27">
        <v>0.7</v>
      </c>
      <c r="K27">
        <v>298</v>
      </c>
      <c r="L27">
        <v>4.0999999999999996</v>
      </c>
      <c r="M27">
        <v>40</v>
      </c>
      <c r="N27">
        <v>106.95</v>
      </c>
      <c r="O27">
        <v>66</v>
      </c>
      <c r="P27">
        <v>324</v>
      </c>
      <c r="Q27">
        <v>11.3</v>
      </c>
      <c r="R27">
        <v>2</v>
      </c>
    </row>
    <row r="28" spans="1:20" x14ac:dyDescent="0.3">
      <c r="A28">
        <v>1444</v>
      </c>
      <c r="B28" t="s">
        <v>18</v>
      </c>
      <c r="C28" t="s">
        <v>31</v>
      </c>
      <c r="D28">
        <v>19002</v>
      </c>
      <c r="E28" t="s">
        <v>20</v>
      </c>
      <c r="F28" t="s">
        <v>24</v>
      </c>
      <c r="G28" t="s">
        <v>21</v>
      </c>
      <c r="H28" t="s">
        <v>21</v>
      </c>
      <c r="I28" t="s">
        <v>24</v>
      </c>
      <c r="J28">
        <v>5.2</v>
      </c>
      <c r="K28">
        <v>1128</v>
      </c>
      <c r="L28">
        <v>3.68</v>
      </c>
      <c r="M28">
        <v>53</v>
      </c>
      <c r="N28">
        <v>165.85</v>
      </c>
      <c r="O28">
        <v>166</v>
      </c>
      <c r="P28">
        <v>421</v>
      </c>
      <c r="Q28">
        <v>9.9</v>
      </c>
      <c r="R28">
        <v>3</v>
      </c>
    </row>
    <row r="29" spans="1:20" x14ac:dyDescent="0.3">
      <c r="A29">
        <v>77</v>
      </c>
      <c r="B29" t="s">
        <v>18</v>
      </c>
      <c r="C29" t="s">
        <v>31</v>
      </c>
      <c r="D29">
        <v>19884</v>
      </c>
      <c r="E29" t="s">
        <v>20</v>
      </c>
      <c r="F29" t="s">
        <v>21</v>
      </c>
      <c r="G29" t="s">
        <v>21</v>
      </c>
      <c r="H29" t="s">
        <v>21</v>
      </c>
      <c r="I29" t="s">
        <v>27</v>
      </c>
      <c r="J29">
        <v>21.6</v>
      </c>
      <c r="K29">
        <v>175</v>
      </c>
      <c r="L29">
        <v>3.31</v>
      </c>
      <c r="M29">
        <v>221</v>
      </c>
      <c r="N29">
        <v>101.91</v>
      </c>
      <c r="O29">
        <v>168</v>
      </c>
      <c r="P29">
        <v>80</v>
      </c>
      <c r="Q29">
        <v>12</v>
      </c>
      <c r="R29">
        <v>4</v>
      </c>
    </row>
    <row r="30" spans="1:20" x14ac:dyDescent="0.3">
      <c r="A30">
        <v>549</v>
      </c>
      <c r="B30" t="s">
        <v>18</v>
      </c>
      <c r="C30" t="s">
        <v>31</v>
      </c>
      <c r="D30">
        <v>16417</v>
      </c>
      <c r="E30" t="s">
        <v>20</v>
      </c>
      <c r="F30" t="s">
        <v>21</v>
      </c>
      <c r="G30" t="s">
        <v>21</v>
      </c>
      <c r="H30" t="s">
        <v>21</v>
      </c>
      <c r="I30" t="s">
        <v>21</v>
      </c>
      <c r="J30">
        <v>17.2</v>
      </c>
      <c r="K30">
        <v>222</v>
      </c>
      <c r="L30">
        <v>3.23</v>
      </c>
      <c r="M30">
        <v>209</v>
      </c>
      <c r="N30">
        <v>189.1</v>
      </c>
      <c r="O30">
        <v>195</v>
      </c>
      <c r="P30">
        <v>144</v>
      </c>
      <c r="Q30">
        <v>13</v>
      </c>
      <c r="R30">
        <v>4</v>
      </c>
    </row>
    <row r="31" spans="1:20" x14ac:dyDescent="0.3">
      <c r="A31">
        <v>4509</v>
      </c>
      <c r="B31" t="s">
        <v>23</v>
      </c>
      <c r="C31" t="s">
        <v>31</v>
      </c>
      <c r="D31">
        <v>23331</v>
      </c>
      <c r="E31" t="s">
        <v>20</v>
      </c>
      <c r="F31" t="s">
        <v>24</v>
      </c>
      <c r="G31" t="s">
        <v>24</v>
      </c>
      <c r="H31" t="s">
        <v>24</v>
      </c>
      <c r="I31" t="s">
        <v>24</v>
      </c>
      <c r="J31">
        <v>0.7</v>
      </c>
      <c r="K31">
        <v>370</v>
      </c>
      <c r="L31">
        <v>3.78</v>
      </c>
      <c r="M31">
        <v>24</v>
      </c>
      <c r="N31">
        <v>73.53</v>
      </c>
      <c r="O31">
        <v>86</v>
      </c>
      <c r="P31">
        <v>390</v>
      </c>
      <c r="Q31">
        <v>10.6</v>
      </c>
      <c r="R31">
        <v>2</v>
      </c>
    </row>
    <row r="32" spans="1:20" x14ac:dyDescent="0.3">
      <c r="A32">
        <v>321</v>
      </c>
      <c r="B32" t="s">
        <v>18</v>
      </c>
      <c r="C32" t="s">
        <v>31</v>
      </c>
      <c r="D32">
        <v>15116</v>
      </c>
      <c r="E32" t="s">
        <v>20</v>
      </c>
      <c r="F32" t="s">
        <v>24</v>
      </c>
      <c r="G32" t="s">
        <v>21</v>
      </c>
      <c r="H32" t="s">
        <v>21</v>
      </c>
      <c r="I32" t="s">
        <v>24</v>
      </c>
      <c r="J32">
        <v>3.6</v>
      </c>
      <c r="K32">
        <v>260</v>
      </c>
      <c r="L32">
        <v>2.54</v>
      </c>
      <c r="M32">
        <v>172</v>
      </c>
      <c r="N32">
        <v>121.26</v>
      </c>
      <c r="O32">
        <v>158</v>
      </c>
      <c r="P32">
        <v>124</v>
      </c>
      <c r="Q32">
        <v>11</v>
      </c>
      <c r="R32">
        <v>4</v>
      </c>
    </row>
    <row r="33" spans="1:18" x14ac:dyDescent="0.3">
      <c r="A33">
        <v>3839</v>
      </c>
      <c r="B33" t="s">
        <v>18</v>
      </c>
      <c r="C33" t="s">
        <v>31</v>
      </c>
      <c r="D33">
        <v>15177</v>
      </c>
      <c r="E33" t="s">
        <v>20</v>
      </c>
      <c r="F33" t="s">
        <v>24</v>
      </c>
      <c r="G33" t="s">
        <v>21</v>
      </c>
      <c r="H33" t="s">
        <v>24</v>
      </c>
      <c r="I33" t="s">
        <v>24</v>
      </c>
      <c r="J33">
        <v>4.7</v>
      </c>
      <c r="K33">
        <v>296</v>
      </c>
      <c r="L33">
        <v>3.44</v>
      </c>
      <c r="M33">
        <v>114</v>
      </c>
      <c r="N33">
        <v>206.4</v>
      </c>
      <c r="O33">
        <v>101</v>
      </c>
      <c r="P33">
        <v>195</v>
      </c>
      <c r="Q33">
        <v>10.3</v>
      </c>
      <c r="R33">
        <v>2</v>
      </c>
    </row>
    <row r="34" spans="1:18" x14ac:dyDescent="0.3">
      <c r="A34">
        <v>4523</v>
      </c>
      <c r="B34" t="s">
        <v>23</v>
      </c>
      <c r="C34" t="s">
        <v>31</v>
      </c>
      <c r="D34">
        <v>19722</v>
      </c>
      <c r="E34" t="s">
        <v>20</v>
      </c>
      <c r="F34" t="s">
        <v>24</v>
      </c>
      <c r="G34" t="s">
        <v>21</v>
      </c>
      <c r="H34" t="s">
        <v>24</v>
      </c>
      <c r="I34" t="s">
        <v>24</v>
      </c>
      <c r="J34">
        <v>1.8</v>
      </c>
      <c r="K34">
        <v>262</v>
      </c>
      <c r="L34">
        <v>3.34</v>
      </c>
      <c r="M34">
        <v>101</v>
      </c>
      <c r="N34">
        <v>82.56</v>
      </c>
      <c r="O34">
        <v>158</v>
      </c>
      <c r="P34">
        <v>286</v>
      </c>
      <c r="Q34">
        <v>10.6</v>
      </c>
      <c r="R34">
        <v>4</v>
      </c>
    </row>
    <row r="35" spans="1:18" x14ac:dyDescent="0.3">
      <c r="A35">
        <v>3170</v>
      </c>
      <c r="B35" t="s">
        <v>18</v>
      </c>
      <c r="C35" t="s">
        <v>31</v>
      </c>
      <c r="D35">
        <v>18731</v>
      </c>
      <c r="E35" t="s">
        <v>20</v>
      </c>
      <c r="F35" t="s">
        <v>24</v>
      </c>
      <c r="G35" t="s">
        <v>24</v>
      </c>
      <c r="H35" t="s">
        <v>24</v>
      </c>
      <c r="I35" t="s">
        <v>24</v>
      </c>
      <c r="J35">
        <v>0.8</v>
      </c>
      <c r="K35">
        <v>210</v>
      </c>
      <c r="L35">
        <v>3.19</v>
      </c>
      <c r="M35">
        <v>82</v>
      </c>
      <c r="N35">
        <v>218.55</v>
      </c>
      <c r="O35">
        <v>113</v>
      </c>
      <c r="P35">
        <v>180</v>
      </c>
      <c r="Q35">
        <v>12</v>
      </c>
      <c r="R35">
        <v>3</v>
      </c>
    </row>
    <row r="36" spans="1:18" x14ac:dyDescent="0.3">
      <c r="A36">
        <v>3933</v>
      </c>
      <c r="B36" t="s">
        <v>23</v>
      </c>
      <c r="C36" t="s">
        <v>19</v>
      </c>
      <c r="D36">
        <v>19015</v>
      </c>
      <c r="E36" t="s">
        <v>20</v>
      </c>
      <c r="F36" t="s">
        <v>24</v>
      </c>
      <c r="G36" t="s">
        <v>24</v>
      </c>
      <c r="H36" t="s">
        <v>24</v>
      </c>
      <c r="I36" t="s">
        <v>24</v>
      </c>
      <c r="J36">
        <v>0.8</v>
      </c>
      <c r="K36">
        <v>364</v>
      </c>
      <c r="L36">
        <v>3.7</v>
      </c>
      <c r="M36">
        <v>37</v>
      </c>
      <c r="N36">
        <v>170.5</v>
      </c>
      <c r="O36">
        <v>64</v>
      </c>
      <c r="P36">
        <v>273</v>
      </c>
      <c r="Q36">
        <v>10.5</v>
      </c>
      <c r="R36">
        <v>2</v>
      </c>
    </row>
    <row r="37" spans="1:18" x14ac:dyDescent="0.3">
      <c r="A37">
        <v>2847</v>
      </c>
      <c r="B37" t="s">
        <v>18</v>
      </c>
      <c r="C37" t="s">
        <v>31</v>
      </c>
      <c r="D37">
        <v>17758</v>
      </c>
      <c r="E37" t="s">
        <v>20</v>
      </c>
      <c r="F37" t="s">
        <v>24</v>
      </c>
      <c r="G37" t="s">
        <v>24</v>
      </c>
      <c r="H37" t="s">
        <v>24</v>
      </c>
      <c r="I37" t="s">
        <v>24</v>
      </c>
      <c r="J37">
        <v>1.2</v>
      </c>
      <c r="K37">
        <v>314</v>
      </c>
      <c r="L37">
        <v>3.2</v>
      </c>
      <c r="M37">
        <v>201</v>
      </c>
      <c r="N37">
        <v>72.239999999999995</v>
      </c>
      <c r="O37">
        <v>151</v>
      </c>
      <c r="P37">
        <v>431</v>
      </c>
      <c r="Q37">
        <v>10.6</v>
      </c>
      <c r="R37">
        <v>3</v>
      </c>
    </row>
    <row r="38" spans="1:18" x14ac:dyDescent="0.3">
      <c r="A38">
        <v>3611</v>
      </c>
      <c r="B38" t="s">
        <v>23</v>
      </c>
      <c r="C38" t="s">
        <v>31</v>
      </c>
      <c r="D38">
        <v>20604</v>
      </c>
      <c r="E38" t="s">
        <v>20</v>
      </c>
      <c r="F38" t="s">
        <v>24</v>
      </c>
      <c r="G38" t="s">
        <v>24</v>
      </c>
      <c r="H38" t="s">
        <v>24</v>
      </c>
      <c r="I38" t="s">
        <v>24</v>
      </c>
      <c r="J38">
        <v>0.3</v>
      </c>
      <c r="K38">
        <v>172</v>
      </c>
      <c r="L38">
        <v>3.39</v>
      </c>
      <c r="M38">
        <v>18</v>
      </c>
      <c r="N38">
        <v>71.3</v>
      </c>
      <c r="O38">
        <v>96</v>
      </c>
      <c r="P38">
        <v>311</v>
      </c>
      <c r="Q38">
        <v>10.6</v>
      </c>
      <c r="R38">
        <v>2</v>
      </c>
    </row>
    <row r="39" spans="1:18" x14ac:dyDescent="0.3">
      <c r="A39">
        <v>223</v>
      </c>
      <c r="B39" t="s">
        <v>18</v>
      </c>
      <c r="C39" t="s">
        <v>19</v>
      </c>
      <c r="D39">
        <v>22546</v>
      </c>
      <c r="E39" t="s">
        <v>20</v>
      </c>
      <c r="F39" t="s">
        <v>21</v>
      </c>
      <c r="G39" t="s">
        <v>21</v>
      </c>
      <c r="H39" t="s">
        <v>24</v>
      </c>
      <c r="I39" t="s">
        <v>21</v>
      </c>
      <c r="J39">
        <v>7.1</v>
      </c>
      <c r="K39">
        <v>334</v>
      </c>
      <c r="L39">
        <v>3.01</v>
      </c>
      <c r="M39">
        <v>150</v>
      </c>
      <c r="N39">
        <v>180.6</v>
      </c>
      <c r="O39">
        <v>118</v>
      </c>
      <c r="P39">
        <v>102</v>
      </c>
      <c r="Q39">
        <v>12</v>
      </c>
      <c r="R39">
        <v>4</v>
      </c>
    </row>
    <row r="40" spans="1:18" x14ac:dyDescent="0.3">
      <c r="A40">
        <v>3244</v>
      </c>
      <c r="B40" t="s">
        <v>18</v>
      </c>
      <c r="C40" t="s">
        <v>31</v>
      </c>
      <c r="D40">
        <v>13378</v>
      </c>
      <c r="E40" t="s">
        <v>20</v>
      </c>
      <c r="F40" t="s">
        <v>24</v>
      </c>
      <c r="G40" t="s">
        <v>21</v>
      </c>
      <c r="H40" t="s">
        <v>21</v>
      </c>
      <c r="I40" t="s">
        <v>24</v>
      </c>
      <c r="J40">
        <v>3.3</v>
      </c>
      <c r="K40">
        <v>383</v>
      </c>
      <c r="L40">
        <v>3.53</v>
      </c>
      <c r="M40">
        <v>102</v>
      </c>
      <c r="N40">
        <v>137.94999999999999</v>
      </c>
      <c r="O40">
        <v>87</v>
      </c>
      <c r="P40">
        <v>234</v>
      </c>
      <c r="Q40">
        <v>11</v>
      </c>
      <c r="R40">
        <v>4</v>
      </c>
    </row>
    <row r="41" spans="1:18" x14ac:dyDescent="0.3">
      <c r="A41">
        <v>2297</v>
      </c>
      <c r="B41" t="s">
        <v>18</v>
      </c>
      <c r="C41" t="s">
        <v>19</v>
      </c>
      <c r="D41">
        <v>20232</v>
      </c>
      <c r="E41" t="s">
        <v>20</v>
      </c>
      <c r="F41" t="s">
        <v>24</v>
      </c>
      <c r="G41" t="s">
        <v>21</v>
      </c>
      <c r="H41" t="s">
        <v>24</v>
      </c>
      <c r="I41" t="s">
        <v>24</v>
      </c>
      <c r="J41">
        <v>0.7</v>
      </c>
      <c r="K41">
        <v>282</v>
      </c>
      <c r="L41">
        <v>3</v>
      </c>
      <c r="M41">
        <v>52</v>
      </c>
      <c r="N41">
        <v>72.239999999999995</v>
      </c>
      <c r="O41">
        <v>111</v>
      </c>
      <c r="P41">
        <v>563</v>
      </c>
      <c r="Q41">
        <v>10.6</v>
      </c>
      <c r="R41">
        <v>4</v>
      </c>
    </row>
    <row r="42" spans="1:18" x14ac:dyDescent="0.3">
      <c r="A42">
        <v>4467</v>
      </c>
      <c r="B42" t="s">
        <v>23</v>
      </c>
      <c r="C42" t="s">
        <v>19</v>
      </c>
      <c r="D42">
        <v>17046</v>
      </c>
      <c r="E42" t="s">
        <v>20</v>
      </c>
      <c r="F42" t="s">
        <v>24</v>
      </c>
      <c r="G42" t="s">
        <v>24</v>
      </c>
      <c r="H42" t="s">
        <v>24</v>
      </c>
      <c r="I42" t="s">
        <v>24</v>
      </c>
      <c r="J42">
        <v>1.3</v>
      </c>
      <c r="K42" s="10" t="s">
        <v>33</v>
      </c>
      <c r="L42">
        <v>3.34</v>
      </c>
      <c r="M42">
        <v>105</v>
      </c>
      <c r="N42">
        <v>104.49</v>
      </c>
      <c r="O42" s="10" t="s">
        <v>33</v>
      </c>
      <c r="P42">
        <v>358</v>
      </c>
      <c r="Q42">
        <v>11</v>
      </c>
      <c r="R42">
        <v>4</v>
      </c>
    </row>
    <row r="43" spans="1:18" x14ac:dyDescent="0.3">
      <c r="A43">
        <v>1350</v>
      </c>
      <c r="B43" t="s">
        <v>18</v>
      </c>
      <c r="C43" t="s">
        <v>19</v>
      </c>
      <c r="D43">
        <v>12285</v>
      </c>
      <c r="E43" t="s">
        <v>20</v>
      </c>
      <c r="F43" t="s">
        <v>24</v>
      </c>
      <c r="G43" t="s">
        <v>21</v>
      </c>
      <c r="H43" t="s">
        <v>24</v>
      </c>
      <c r="I43" t="s">
        <v>24</v>
      </c>
      <c r="J43">
        <v>6.8</v>
      </c>
      <c r="K43" s="10" t="s">
        <v>33</v>
      </c>
      <c r="L43">
        <v>3.26</v>
      </c>
      <c r="M43">
        <v>96</v>
      </c>
      <c r="N43">
        <v>151.9</v>
      </c>
      <c r="O43" s="10" t="s">
        <v>33</v>
      </c>
      <c r="P43">
        <v>226</v>
      </c>
      <c r="Q43">
        <v>11.7</v>
      </c>
      <c r="R43">
        <v>4</v>
      </c>
    </row>
    <row r="44" spans="1:18" x14ac:dyDescent="0.3">
      <c r="A44">
        <v>4453</v>
      </c>
      <c r="B44" t="s">
        <v>23</v>
      </c>
      <c r="C44" t="s">
        <v>31</v>
      </c>
      <c r="D44">
        <v>12307</v>
      </c>
      <c r="E44" t="s">
        <v>20</v>
      </c>
      <c r="F44" t="s">
        <v>24</v>
      </c>
      <c r="G44" t="s">
        <v>21</v>
      </c>
      <c r="H44" t="s">
        <v>21</v>
      </c>
      <c r="I44" t="s">
        <v>24</v>
      </c>
      <c r="J44">
        <v>2.1</v>
      </c>
      <c r="K44" s="10" t="s">
        <v>33</v>
      </c>
      <c r="L44">
        <v>3.54</v>
      </c>
      <c r="M44">
        <v>122</v>
      </c>
      <c r="N44">
        <v>56.76</v>
      </c>
      <c r="O44" s="10" t="s">
        <v>33</v>
      </c>
      <c r="P44">
        <v>344</v>
      </c>
      <c r="Q44">
        <v>11</v>
      </c>
      <c r="R44">
        <v>4</v>
      </c>
    </row>
    <row r="45" spans="1:18" x14ac:dyDescent="0.3">
      <c r="A45">
        <v>4556</v>
      </c>
      <c r="B45" t="s">
        <v>23</v>
      </c>
      <c r="C45" t="s">
        <v>19</v>
      </c>
      <c r="D45">
        <v>17850</v>
      </c>
      <c r="E45" t="s">
        <v>20</v>
      </c>
      <c r="F45" t="s">
        <v>24</v>
      </c>
      <c r="G45" t="s">
        <v>24</v>
      </c>
      <c r="H45" t="s">
        <v>24</v>
      </c>
      <c r="I45" t="s">
        <v>24</v>
      </c>
      <c r="J45">
        <v>1.1000000000000001</v>
      </c>
      <c r="K45">
        <v>361</v>
      </c>
      <c r="L45">
        <v>3.64</v>
      </c>
      <c r="M45">
        <v>36</v>
      </c>
      <c r="N45">
        <v>67.08</v>
      </c>
      <c r="O45">
        <v>89</v>
      </c>
      <c r="P45">
        <v>203</v>
      </c>
      <c r="Q45">
        <v>10.6</v>
      </c>
      <c r="R45">
        <v>2</v>
      </c>
    </row>
    <row r="46" spans="1:18" x14ac:dyDescent="0.3">
      <c r="A46">
        <v>3428</v>
      </c>
      <c r="B46" t="s">
        <v>18</v>
      </c>
      <c r="C46" t="s">
        <v>31</v>
      </c>
      <c r="D46">
        <v>13727</v>
      </c>
      <c r="E46" t="s">
        <v>20</v>
      </c>
      <c r="F46" t="s">
        <v>24</v>
      </c>
      <c r="G46" t="s">
        <v>21</v>
      </c>
      <c r="H46" t="s">
        <v>21</v>
      </c>
      <c r="I46" t="s">
        <v>21</v>
      </c>
      <c r="J46">
        <v>3.3</v>
      </c>
      <c r="K46">
        <v>299</v>
      </c>
      <c r="L46">
        <v>3.55</v>
      </c>
      <c r="M46">
        <v>131</v>
      </c>
      <c r="N46">
        <v>119.35</v>
      </c>
      <c r="O46">
        <v>50</v>
      </c>
      <c r="P46">
        <v>199</v>
      </c>
      <c r="Q46">
        <v>11.7</v>
      </c>
      <c r="R46">
        <v>3</v>
      </c>
    </row>
    <row r="47" spans="1:18" x14ac:dyDescent="0.3">
      <c r="A47">
        <v>4025</v>
      </c>
      <c r="B47" t="s">
        <v>23</v>
      </c>
      <c r="C47" t="s">
        <v>31</v>
      </c>
      <c r="D47">
        <v>15265</v>
      </c>
      <c r="E47" t="s">
        <v>20</v>
      </c>
      <c r="F47" t="s">
        <v>24</v>
      </c>
      <c r="G47" t="s">
        <v>24</v>
      </c>
      <c r="H47" t="s">
        <v>24</v>
      </c>
      <c r="I47" t="s">
        <v>24</v>
      </c>
      <c r="J47">
        <v>0.6</v>
      </c>
      <c r="K47" s="10" t="s">
        <v>33</v>
      </c>
      <c r="L47">
        <v>3.93</v>
      </c>
      <c r="M47">
        <v>19</v>
      </c>
      <c r="N47">
        <v>71.3</v>
      </c>
      <c r="O47" s="10" t="s">
        <v>33</v>
      </c>
      <c r="P47">
        <v>474</v>
      </c>
      <c r="Q47">
        <v>10.9</v>
      </c>
      <c r="R47">
        <v>2</v>
      </c>
    </row>
    <row r="48" spans="1:18" x14ac:dyDescent="0.3">
      <c r="A48">
        <v>2256</v>
      </c>
      <c r="B48" t="s">
        <v>18</v>
      </c>
      <c r="C48" t="s">
        <v>19</v>
      </c>
      <c r="D48">
        <v>16728</v>
      </c>
      <c r="E48" t="s">
        <v>20</v>
      </c>
      <c r="F48" t="s">
        <v>24</v>
      </c>
      <c r="G48" t="s">
        <v>21</v>
      </c>
      <c r="H48" t="s">
        <v>24</v>
      </c>
      <c r="I48" t="s">
        <v>24</v>
      </c>
      <c r="J48">
        <v>5.7</v>
      </c>
      <c r="K48">
        <v>482</v>
      </c>
      <c r="L48">
        <v>2.84</v>
      </c>
      <c r="M48">
        <v>161</v>
      </c>
      <c r="N48">
        <v>136.74</v>
      </c>
      <c r="O48">
        <v>165</v>
      </c>
      <c r="P48">
        <v>518</v>
      </c>
      <c r="Q48">
        <v>12.7</v>
      </c>
      <c r="R48">
        <v>3</v>
      </c>
    </row>
    <row r="49" spans="1:18" x14ac:dyDescent="0.3">
      <c r="A49">
        <v>2576</v>
      </c>
      <c r="B49" t="s">
        <v>23</v>
      </c>
      <c r="C49" t="s">
        <v>31</v>
      </c>
      <c r="D49">
        <v>17323</v>
      </c>
      <c r="E49" t="s">
        <v>20</v>
      </c>
      <c r="F49" t="s">
        <v>24</v>
      </c>
      <c r="G49" t="s">
        <v>24</v>
      </c>
      <c r="H49" t="s">
        <v>24</v>
      </c>
      <c r="I49" t="s">
        <v>24</v>
      </c>
      <c r="J49">
        <v>0.5</v>
      </c>
      <c r="K49">
        <v>316</v>
      </c>
      <c r="L49">
        <v>3.65</v>
      </c>
      <c r="M49">
        <v>68</v>
      </c>
      <c r="N49">
        <v>187.55</v>
      </c>
      <c r="O49">
        <v>71</v>
      </c>
      <c r="P49">
        <v>356</v>
      </c>
      <c r="Q49">
        <v>9.8000000000000007</v>
      </c>
      <c r="R49">
        <v>3</v>
      </c>
    </row>
    <row r="50" spans="1:18" x14ac:dyDescent="0.3">
      <c r="A50">
        <v>4427</v>
      </c>
      <c r="B50" t="s">
        <v>23</v>
      </c>
      <c r="C50" t="s">
        <v>31</v>
      </c>
      <c r="D50">
        <v>17947</v>
      </c>
      <c r="E50" t="s">
        <v>26</v>
      </c>
      <c r="F50" t="s">
        <v>24</v>
      </c>
      <c r="G50" t="s">
        <v>24</v>
      </c>
      <c r="H50" t="s">
        <v>24</v>
      </c>
      <c r="I50" t="s">
        <v>24</v>
      </c>
      <c r="J50">
        <v>1.9</v>
      </c>
      <c r="K50">
        <v>259</v>
      </c>
      <c r="L50">
        <v>3.7</v>
      </c>
      <c r="M50">
        <v>281</v>
      </c>
      <c r="N50">
        <v>188.34</v>
      </c>
      <c r="O50">
        <v>178</v>
      </c>
      <c r="P50">
        <v>214</v>
      </c>
      <c r="Q50">
        <v>11</v>
      </c>
      <c r="R50">
        <v>3</v>
      </c>
    </row>
    <row r="51" spans="1:18" x14ac:dyDescent="0.3">
      <c r="A51">
        <v>708</v>
      </c>
      <c r="B51" t="s">
        <v>18</v>
      </c>
      <c r="C51" t="s">
        <v>31</v>
      </c>
      <c r="D51">
        <v>22336</v>
      </c>
      <c r="E51" t="s">
        <v>20</v>
      </c>
      <c r="F51" t="s">
        <v>24</v>
      </c>
      <c r="G51" t="s">
        <v>21</v>
      </c>
      <c r="H51" t="s">
        <v>24</v>
      </c>
      <c r="I51" t="s">
        <v>24</v>
      </c>
      <c r="J51">
        <v>0.8</v>
      </c>
      <c r="K51" s="10" t="s">
        <v>33</v>
      </c>
      <c r="L51">
        <v>3.82</v>
      </c>
      <c r="M51">
        <v>58</v>
      </c>
      <c r="N51">
        <v>97.65</v>
      </c>
      <c r="O51" s="10" t="s">
        <v>33</v>
      </c>
      <c r="P51">
        <v>233</v>
      </c>
      <c r="Q51">
        <v>11</v>
      </c>
      <c r="R51">
        <v>4</v>
      </c>
    </row>
    <row r="52" spans="1:18" x14ac:dyDescent="0.3">
      <c r="A52">
        <v>2598</v>
      </c>
      <c r="B52" t="s">
        <v>18</v>
      </c>
      <c r="C52" t="s">
        <v>19</v>
      </c>
      <c r="D52">
        <v>19544</v>
      </c>
      <c r="E52" t="s">
        <v>20</v>
      </c>
      <c r="F52" t="s">
        <v>24</v>
      </c>
      <c r="G52" t="s">
        <v>21</v>
      </c>
      <c r="H52" t="s">
        <v>24</v>
      </c>
      <c r="I52" t="s">
        <v>24</v>
      </c>
      <c r="J52">
        <v>1.1000000000000001</v>
      </c>
      <c r="K52">
        <v>257</v>
      </c>
      <c r="L52">
        <v>3.36</v>
      </c>
      <c r="M52">
        <v>43</v>
      </c>
      <c r="N52">
        <v>106.95</v>
      </c>
      <c r="O52">
        <v>73</v>
      </c>
      <c r="P52">
        <v>128</v>
      </c>
      <c r="Q52">
        <v>10.6</v>
      </c>
      <c r="R52">
        <v>4</v>
      </c>
    </row>
    <row r="53" spans="1:18" x14ac:dyDescent="0.3">
      <c r="A53">
        <v>3853</v>
      </c>
      <c r="B53" t="s">
        <v>18</v>
      </c>
      <c r="C53" t="s">
        <v>31</v>
      </c>
      <c r="D53">
        <v>19025</v>
      </c>
      <c r="E53" t="s">
        <v>20</v>
      </c>
      <c r="F53" t="s">
        <v>24</v>
      </c>
      <c r="G53" t="s">
        <v>24</v>
      </c>
      <c r="H53" t="s">
        <v>24</v>
      </c>
      <c r="I53" t="s">
        <v>24</v>
      </c>
      <c r="J53">
        <v>0.8</v>
      </c>
      <c r="K53">
        <v>276</v>
      </c>
      <c r="L53">
        <v>3.6</v>
      </c>
      <c r="M53">
        <v>54</v>
      </c>
      <c r="N53">
        <v>99.33</v>
      </c>
      <c r="O53">
        <v>143</v>
      </c>
      <c r="P53">
        <v>273</v>
      </c>
      <c r="Q53">
        <v>10.6</v>
      </c>
      <c r="R53">
        <v>2</v>
      </c>
    </row>
    <row r="54" spans="1:18" x14ac:dyDescent="0.3">
      <c r="A54">
        <v>2386</v>
      </c>
      <c r="B54" t="s">
        <v>18</v>
      </c>
      <c r="C54" t="s">
        <v>19</v>
      </c>
      <c r="D54">
        <v>18460</v>
      </c>
      <c r="E54" t="s">
        <v>26</v>
      </c>
      <c r="F54" t="s">
        <v>24</v>
      </c>
      <c r="G54" t="s">
        <v>24</v>
      </c>
      <c r="H54" t="s">
        <v>24</v>
      </c>
      <c r="I54" t="s">
        <v>24</v>
      </c>
      <c r="J54">
        <v>6</v>
      </c>
      <c r="K54">
        <v>614</v>
      </c>
      <c r="L54">
        <v>3.7</v>
      </c>
      <c r="M54">
        <v>158</v>
      </c>
      <c r="N54">
        <v>206.4</v>
      </c>
      <c r="O54">
        <v>93</v>
      </c>
      <c r="P54">
        <v>362</v>
      </c>
      <c r="Q54">
        <v>10.6</v>
      </c>
      <c r="R54">
        <v>1</v>
      </c>
    </row>
    <row r="55" spans="1:18" x14ac:dyDescent="0.3">
      <c r="A55">
        <v>1000</v>
      </c>
      <c r="B55" t="s">
        <v>18</v>
      </c>
      <c r="C55" t="s">
        <v>19</v>
      </c>
      <c r="D55">
        <v>24621</v>
      </c>
      <c r="E55" t="s">
        <v>20</v>
      </c>
      <c r="F55" t="s">
        <v>24</v>
      </c>
      <c r="G55" t="s">
        <v>21</v>
      </c>
      <c r="H55" t="s">
        <v>24</v>
      </c>
      <c r="I55" t="s">
        <v>24</v>
      </c>
      <c r="J55">
        <v>2.6</v>
      </c>
      <c r="K55" s="10" t="s">
        <v>33</v>
      </c>
      <c r="L55">
        <v>3.1</v>
      </c>
      <c r="M55">
        <v>94</v>
      </c>
      <c r="N55">
        <v>56.76</v>
      </c>
      <c r="O55" s="10" t="s">
        <v>33</v>
      </c>
      <c r="P55">
        <v>214</v>
      </c>
      <c r="Q55">
        <v>11</v>
      </c>
      <c r="R55">
        <v>4</v>
      </c>
    </row>
    <row r="56" spans="1:18" x14ac:dyDescent="0.3">
      <c r="A56">
        <v>1434</v>
      </c>
      <c r="B56" t="s">
        <v>18</v>
      </c>
      <c r="C56" t="s">
        <v>19</v>
      </c>
      <c r="D56">
        <v>14317</v>
      </c>
      <c r="E56" t="s">
        <v>20</v>
      </c>
      <c r="F56" t="s">
        <v>21</v>
      </c>
      <c r="G56" t="s">
        <v>21</v>
      </c>
      <c r="H56" t="s">
        <v>21</v>
      </c>
      <c r="I56" t="s">
        <v>21</v>
      </c>
      <c r="J56">
        <v>1.3</v>
      </c>
      <c r="K56">
        <v>288</v>
      </c>
      <c r="L56">
        <v>3.4</v>
      </c>
      <c r="M56">
        <v>262</v>
      </c>
      <c r="N56">
        <v>73.53</v>
      </c>
      <c r="O56">
        <v>125</v>
      </c>
      <c r="P56">
        <v>254</v>
      </c>
      <c r="Q56">
        <v>11</v>
      </c>
      <c r="R56">
        <v>4</v>
      </c>
    </row>
    <row r="57" spans="1:18" x14ac:dyDescent="0.3">
      <c r="A57">
        <v>1360</v>
      </c>
      <c r="B57" t="s">
        <v>18</v>
      </c>
      <c r="C57" t="s">
        <v>19</v>
      </c>
      <c r="D57">
        <v>24020</v>
      </c>
      <c r="E57" t="s">
        <v>26</v>
      </c>
      <c r="F57" t="s">
        <v>24</v>
      </c>
      <c r="G57" t="s">
        <v>24</v>
      </c>
      <c r="H57" t="s">
        <v>24</v>
      </c>
      <c r="I57" t="s">
        <v>24</v>
      </c>
      <c r="J57">
        <v>1.8</v>
      </c>
      <c r="K57">
        <v>416</v>
      </c>
      <c r="L57">
        <v>3.94</v>
      </c>
      <c r="M57">
        <v>121</v>
      </c>
      <c r="N57">
        <v>79.98</v>
      </c>
      <c r="O57">
        <v>219</v>
      </c>
      <c r="P57">
        <v>213</v>
      </c>
      <c r="Q57">
        <v>11</v>
      </c>
      <c r="R57">
        <v>3</v>
      </c>
    </row>
    <row r="58" spans="1:18" x14ac:dyDescent="0.3">
      <c r="A58">
        <v>1847</v>
      </c>
      <c r="B58" t="s">
        <v>18</v>
      </c>
      <c r="C58" t="s">
        <v>31</v>
      </c>
      <c r="D58">
        <v>12279</v>
      </c>
      <c r="E58" t="s">
        <v>20</v>
      </c>
      <c r="F58" t="s">
        <v>24</v>
      </c>
      <c r="G58" t="s">
        <v>21</v>
      </c>
      <c r="H58" t="s">
        <v>21</v>
      </c>
      <c r="I58" t="s">
        <v>24</v>
      </c>
      <c r="J58">
        <v>1.1000000000000001</v>
      </c>
      <c r="K58">
        <v>498</v>
      </c>
      <c r="L58">
        <v>3.8</v>
      </c>
      <c r="M58">
        <v>88</v>
      </c>
      <c r="N58">
        <v>95.46</v>
      </c>
      <c r="O58">
        <v>319</v>
      </c>
      <c r="P58">
        <v>365</v>
      </c>
      <c r="Q58">
        <v>10.6</v>
      </c>
      <c r="R58">
        <v>2</v>
      </c>
    </row>
    <row r="59" spans="1:18" x14ac:dyDescent="0.3">
      <c r="A59">
        <v>3282</v>
      </c>
      <c r="B59" t="s">
        <v>18</v>
      </c>
      <c r="C59" t="s">
        <v>19</v>
      </c>
      <c r="D59">
        <v>19567</v>
      </c>
      <c r="E59" t="s">
        <v>20</v>
      </c>
      <c r="F59" t="s">
        <v>24</v>
      </c>
      <c r="G59" t="s">
        <v>21</v>
      </c>
      <c r="H59" t="s">
        <v>24</v>
      </c>
      <c r="I59" t="s">
        <v>27</v>
      </c>
      <c r="J59">
        <v>2.2999999999999998</v>
      </c>
      <c r="K59">
        <v>260</v>
      </c>
      <c r="L59">
        <v>3.18</v>
      </c>
      <c r="M59">
        <v>231</v>
      </c>
      <c r="N59">
        <v>105.78</v>
      </c>
      <c r="O59">
        <v>94</v>
      </c>
      <c r="P59">
        <v>216</v>
      </c>
      <c r="Q59">
        <v>12.4</v>
      </c>
      <c r="R59">
        <v>3</v>
      </c>
    </row>
    <row r="60" spans="1:18" x14ac:dyDescent="0.3">
      <c r="A60">
        <v>4459</v>
      </c>
      <c r="B60" t="s">
        <v>23</v>
      </c>
      <c r="C60" t="s">
        <v>19</v>
      </c>
      <c r="D60">
        <v>16279</v>
      </c>
      <c r="E60" t="s">
        <v>26</v>
      </c>
      <c r="F60" t="s">
        <v>24</v>
      </c>
      <c r="G60" t="s">
        <v>24</v>
      </c>
      <c r="H60" t="s">
        <v>24</v>
      </c>
      <c r="I60" t="s">
        <v>24</v>
      </c>
      <c r="J60">
        <v>0.7</v>
      </c>
      <c r="K60">
        <v>242</v>
      </c>
      <c r="L60">
        <v>4.08</v>
      </c>
      <c r="M60">
        <v>73</v>
      </c>
      <c r="N60">
        <v>56.76</v>
      </c>
      <c r="O60">
        <v>118</v>
      </c>
      <c r="P60" s="10" t="s">
        <v>33</v>
      </c>
      <c r="Q60">
        <v>10.6</v>
      </c>
      <c r="R60">
        <v>1</v>
      </c>
    </row>
    <row r="61" spans="1:18" x14ac:dyDescent="0.3">
      <c r="A61">
        <v>2224</v>
      </c>
      <c r="B61" t="s">
        <v>18</v>
      </c>
      <c r="C61" t="s">
        <v>19</v>
      </c>
      <c r="D61">
        <v>14754</v>
      </c>
      <c r="E61" t="s">
        <v>20</v>
      </c>
      <c r="F61" t="s">
        <v>24</v>
      </c>
      <c r="G61" t="s">
        <v>21</v>
      </c>
      <c r="H61" t="s">
        <v>21</v>
      </c>
      <c r="I61" t="s">
        <v>24</v>
      </c>
      <c r="J61">
        <v>0.8</v>
      </c>
      <c r="K61">
        <v>329</v>
      </c>
      <c r="L61">
        <v>3.5</v>
      </c>
      <c r="M61">
        <v>49</v>
      </c>
      <c r="N61">
        <v>126.42</v>
      </c>
      <c r="O61">
        <v>124</v>
      </c>
      <c r="P61">
        <v>321</v>
      </c>
      <c r="Q61">
        <v>10.6</v>
      </c>
      <c r="R61">
        <v>3</v>
      </c>
    </row>
    <row r="62" spans="1:18" x14ac:dyDescent="0.3">
      <c r="A62">
        <v>4365</v>
      </c>
      <c r="B62" t="s">
        <v>23</v>
      </c>
      <c r="C62" t="s">
        <v>19</v>
      </c>
      <c r="D62">
        <v>21324</v>
      </c>
      <c r="E62" t="s">
        <v>20</v>
      </c>
      <c r="F62" t="s">
        <v>24</v>
      </c>
      <c r="G62" t="s">
        <v>24</v>
      </c>
      <c r="H62" t="s">
        <v>24</v>
      </c>
      <c r="I62" t="s">
        <v>24</v>
      </c>
      <c r="J62">
        <v>0.9</v>
      </c>
      <c r="K62">
        <v>604</v>
      </c>
      <c r="L62">
        <v>3.4</v>
      </c>
      <c r="M62">
        <v>82</v>
      </c>
      <c r="N62">
        <v>71.3</v>
      </c>
      <c r="O62">
        <v>58</v>
      </c>
      <c r="P62">
        <v>228</v>
      </c>
      <c r="Q62">
        <v>10.3</v>
      </c>
      <c r="R62">
        <v>3</v>
      </c>
    </row>
    <row r="63" spans="1:18" x14ac:dyDescent="0.3">
      <c r="A63">
        <v>4256</v>
      </c>
      <c r="B63" t="s">
        <v>23</v>
      </c>
      <c r="C63" t="s">
        <v>31</v>
      </c>
      <c r="D63">
        <v>16034</v>
      </c>
      <c r="E63" t="s">
        <v>26</v>
      </c>
      <c r="F63" t="s">
        <v>24</v>
      </c>
      <c r="G63" t="s">
        <v>24</v>
      </c>
      <c r="H63" t="s">
        <v>24</v>
      </c>
      <c r="I63" t="s">
        <v>24</v>
      </c>
      <c r="J63">
        <v>0.6</v>
      </c>
      <c r="K63">
        <v>216</v>
      </c>
      <c r="L63">
        <v>3.94</v>
      </c>
      <c r="M63">
        <v>28</v>
      </c>
      <c r="N63">
        <v>60.45</v>
      </c>
      <c r="O63">
        <v>188</v>
      </c>
      <c r="P63">
        <v>211</v>
      </c>
      <c r="Q63">
        <v>13</v>
      </c>
      <c r="R63">
        <v>1</v>
      </c>
    </row>
    <row r="64" spans="1:18" x14ac:dyDescent="0.3">
      <c r="A64">
        <v>3090</v>
      </c>
      <c r="B64" t="s">
        <v>18</v>
      </c>
      <c r="C64" t="s">
        <v>31</v>
      </c>
      <c r="D64">
        <v>22173</v>
      </c>
      <c r="E64" t="s">
        <v>20</v>
      </c>
      <c r="F64" t="s">
        <v>21</v>
      </c>
      <c r="G64" t="s">
        <v>24</v>
      </c>
      <c r="H64" t="s">
        <v>24</v>
      </c>
      <c r="I64" t="s">
        <v>24</v>
      </c>
      <c r="J64">
        <v>1.3</v>
      </c>
      <c r="K64">
        <v>302</v>
      </c>
      <c r="L64">
        <v>2.75</v>
      </c>
      <c r="M64">
        <v>58</v>
      </c>
      <c r="N64">
        <v>43.4</v>
      </c>
      <c r="O64">
        <v>112</v>
      </c>
      <c r="P64">
        <v>329</v>
      </c>
      <c r="Q64">
        <v>13.2</v>
      </c>
      <c r="R64">
        <v>4</v>
      </c>
    </row>
    <row r="65" spans="1:18" x14ac:dyDescent="0.3">
      <c r="A65">
        <v>859</v>
      </c>
      <c r="B65" t="s">
        <v>18</v>
      </c>
      <c r="C65" t="s">
        <v>31</v>
      </c>
      <c r="D65">
        <v>17031</v>
      </c>
      <c r="E65" t="s">
        <v>20</v>
      </c>
      <c r="F65" t="s">
        <v>24</v>
      </c>
      <c r="G65" t="s">
        <v>24</v>
      </c>
      <c r="H65" t="s">
        <v>21</v>
      </c>
      <c r="I65" t="s">
        <v>21</v>
      </c>
      <c r="J65">
        <v>22.5</v>
      </c>
      <c r="K65">
        <v>932</v>
      </c>
      <c r="L65">
        <v>3.12</v>
      </c>
      <c r="M65">
        <v>95</v>
      </c>
      <c r="N65">
        <v>244.9</v>
      </c>
      <c r="O65">
        <v>133</v>
      </c>
      <c r="P65">
        <v>165</v>
      </c>
      <c r="Q65">
        <v>11.6</v>
      </c>
      <c r="R65">
        <v>3</v>
      </c>
    </row>
    <row r="66" spans="1:18" x14ac:dyDescent="0.3">
      <c r="A66">
        <v>1487</v>
      </c>
      <c r="B66" t="s">
        <v>18</v>
      </c>
      <c r="C66" t="s">
        <v>31</v>
      </c>
      <c r="D66">
        <v>22977</v>
      </c>
      <c r="E66" t="s">
        <v>20</v>
      </c>
      <c r="F66" t="s">
        <v>24</v>
      </c>
      <c r="G66" t="s">
        <v>21</v>
      </c>
      <c r="H66" t="s">
        <v>24</v>
      </c>
      <c r="I66" t="s">
        <v>24</v>
      </c>
      <c r="J66">
        <v>2.1</v>
      </c>
      <c r="K66">
        <v>373</v>
      </c>
      <c r="L66">
        <v>3.5</v>
      </c>
      <c r="M66">
        <v>52</v>
      </c>
      <c r="N66">
        <v>150.35</v>
      </c>
      <c r="O66">
        <v>188</v>
      </c>
      <c r="P66">
        <v>178</v>
      </c>
      <c r="Q66">
        <v>11</v>
      </c>
      <c r="R66">
        <v>3</v>
      </c>
    </row>
    <row r="67" spans="1:18" x14ac:dyDescent="0.3">
      <c r="A67">
        <v>3992</v>
      </c>
      <c r="B67" t="s">
        <v>23</v>
      </c>
      <c r="C67" t="s">
        <v>19</v>
      </c>
      <c r="D67">
        <v>14684</v>
      </c>
      <c r="E67" t="s">
        <v>20</v>
      </c>
      <c r="F67" t="s">
        <v>24</v>
      </c>
      <c r="G67" t="s">
        <v>24</v>
      </c>
      <c r="H67" t="s">
        <v>24</v>
      </c>
      <c r="I67" t="s">
        <v>24</v>
      </c>
      <c r="J67">
        <v>1.2</v>
      </c>
      <c r="K67">
        <v>256</v>
      </c>
      <c r="L67">
        <v>3.6</v>
      </c>
      <c r="M67">
        <v>74</v>
      </c>
      <c r="N67">
        <v>141.05000000000001</v>
      </c>
      <c r="O67">
        <v>108</v>
      </c>
      <c r="P67">
        <v>430</v>
      </c>
      <c r="Q67">
        <v>10</v>
      </c>
      <c r="R67">
        <v>1</v>
      </c>
    </row>
    <row r="68" spans="1:18" x14ac:dyDescent="0.3">
      <c r="A68">
        <v>4191</v>
      </c>
      <c r="B68" t="s">
        <v>18</v>
      </c>
      <c r="C68" t="s">
        <v>19</v>
      </c>
      <c r="D68">
        <v>16967</v>
      </c>
      <c r="E68" t="s">
        <v>26</v>
      </c>
      <c r="F68" t="s">
        <v>24</v>
      </c>
      <c r="G68" t="s">
        <v>21</v>
      </c>
      <c r="H68" t="s">
        <v>24</v>
      </c>
      <c r="I68" t="s">
        <v>24</v>
      </c>
      <c r="J68">
        <v>1.4</v>
      </c>
      <c r="K68">
        <v>427</v>
      </c>
      <c r="L68">
        <v>3.7</v>
      </c>
      <c r="M68">
        <v>105</v>
      </c>
      <c r="N68">
        <v>182.9</v>
      </c>
      <c r="O68">
        <v>171</v>
      </c>
      <c r="P68">
        <v>123</v>
      </c>
      <c r="Q68">
        <v>11</v>
      </c>
      <c r="R68">
        <v>3</v>
      </c>
    </row>
    <row r="69" spans="1:18" x14ac:dyDescent="0.3">
      <c r="A69">
        <v>2769</v>
      </c>
      <c r="B69" t="s">
        <v>18</v>
      </c>
      <c r="C69" t="s">
        <v>31</v>
      </c>
      <c r="D69">
        <v>18733</v>
      </c>
      <c r="E69" t="s">
        <v>20</v>
      </c>
      <c r="F69" t="s">
        <v>24</v>
      </c>
      <c r="G69" t="s">
        <v>24</v>
      </c>
      <c r="H69" t="s">
        <v>24</v>
      </c>
      <c r="I69" t="s">
        <v>24</v>
      </c>
      <c r="J69">
        <v>1.1000000000000001</v>
      </c>
      <c r="K69">
        <v>466</v>
      </c>
      <c r="L69">
        <v>3.91</v>
      </c>
      <c r="M69">
        <v>84</v>
      </c>
      <c r="N69">
        <v>328.6</v>
      </c>
      <c r="O69">
        <v>185</v>
      </c>
      <c r="P69">
        <v>261</v>
      </c>
      <c r="Q69">
        <v>10</v>
      </c>
      <c r="R69">
        <v>3</v>
      </c>
    </row>
    <row r="70" spans="1:18" x14ac:dyDescent="0.3">
      <c r="A70">
        <v>4039</v>
      </c>
      <c r="B70" t="s">
        <v>23</v>
      </c>
      <c r="C70" t="s">
        <v>19</v>
      </c>
      <c r="D70">
        <v>11912</v>
      </c>
      <c r="E70" t="s">
        <v>20</v>
      </c>
      <c r="F70" t="s">
        <v>24</v>
      </c>
      <c r="G70" t="s">
        <v>24</v>
      </c>
      <c r="H70" t="s">
        <v>24</v>
      </c>
      <c r="I70" t="s">
        <v>24</v>
      </c>
      <c r="J70">
        <v>0.7</v>
      </c>
      <c r="K70">
        <v>174</v>
      </c>
      <c r="L70">
        <v>4.09</v>
      </c>
      <c r="M70">
        <v>58</v>
      </c>
      <c r="N70">
        <v>71.3</v>
      </c>
      <c r="O70">
        <v>46</v>
      </c>
      <c r="P70">
        <v>203</v>
      </c>
      <c r="Q70">
        <v>10.6</v>
      </c>
      <c r="R70">
        <v>3</v>
      </c>
    </row>
    <row r="71" spans="1:18" x14ac:dyDescent="0.3">
      <c r="A71">
        <v>1170</v>
      </c>
      <c r="B71" t="s">
        <v>18</v>
      </c>
      <c r="C71" t="s">
        <v>19</v>
      </c>
      <c r="D71">
        <v>18021</v>
      </c>
      <c r="E71" t="s">
        <v>20</v>
      </c>
      <c r="F71" t="s">
        <v>24</v>
      </c>
      <c r="G71" t="s">
        <v>21</v>
      </c>
      <c r="H71" t="s">
        <v>21</v>
      </c>
      <c r="I71" t="s">
        <v>27</v>
      </c>
      <c r="J71">
        <v>20</v>
      </c>
      <c r="K71">
        <v>652</v>
      </c>
      <c r="L71">
        <v>3.46</v>
      </c>
      <c r="M71">
        <v>159</v>
      </c>
      <c r="N71">
        <v>215.45</v>
      </c>
      <c r="O71">
        <v>184</v>
      </c>
      <c r="P71">
        <v>227</v>
      </c>
      <c r="Q71">
        <v>12.4</v>
      </c>
      <c r="R71">
        <v>3</v>
      </c>
    </row>
    <row r="72" spans="1:18" x14ac:dyDescent="0.3">
      <c r="A72">
        <v>3458</v>
      </c>
      <c r="B72" t="s">
        <v>23</v>
      </c>
      <c r="C72" t="s">
        <v>19</v>
      </c>
      <c r="D72">
        <v>20600</v>
      </c>
      <c r="E72" t="s">
        <v>20</v>
      </c>
      <c r="F72" t="s">
        <v>24</v>
      </c>
      <c r="G72" t="s">
        <v>24</v>
      </c>
      <c r="H72" t="s">
        <v>24</v>
      </c>
      <c r="I72" t="s">
        <v>24</v>
      </c>
      <c r="J72">
        <v>0.6</v>
      </c>
      <c r="K72" s="10" t="s">
        <v>33</v>
      </c>
      <c r="L72">
        <v>4.6399999999999997</v>
      </c>
      <c r="M72">
        <v>20</v>
      </c>
      <c r="N72">
        <v>54.25</v>
      </c>
      <c r="O72" s="10" t="s">
        <v>33</v>
      </c>
      <c r="P72">
        <v>265</v>
      </c>
      <c r="Q72">
        <v>10.6</v>
      </c>
      <c r="R72">
        <v>2</v>
      </c>
    </row>
    <row r="73" spans="1:18" x14ac:dyDescent="0.3">
      <c r="A73">
        <v>4196</v>
      </c>
      <c r="B73" t="s">
        <v>23</v>
      </c>
      <c r="C73" t="s">
        <v>31</v>
      </c>
      <c r="D73">
        <v>17841</v>
      </c>
      <c r="E73" t="s">
        <v>20</v>
      </c>
      <c r="F73" t="s">
        <v>24</v>
      </c>
      <c r="G73" t="s">
        <v>21</v>
      </c>
      <c r="H73" t="s">
        <v>24</v>
      </c>
      <c r="I73" t="s">
        <v>24</v>
      </c>
      <c r="J73">
        <v>1.2</v>
      </c>
      <c r="K73">
        <v>258</v>
      </c>
      <c r="L73">
        <v>3.57</v>
      </c>
      <c r="M73">
        <v>79</v>
      </c>
      <c r="N73">
        <v>120.9</v>
      </c>
      <c r="O73">
        <v>76</v>
      </c>
      <c r="P73">
        <v>410</v>
      </c>
      <c r="Q73">
        <v>11.5</v>
      </c>
      <c r="R73">
        <v>4</v>
      </c>
    </row>
    <row r="74" spans="1:18" x14ac:dyDescent="0.3">
      <c r="A74">
        <v>4184</v>
      </c>
      <c r="B74" t="s">
        <v>23</v>
      </c>
      <c r="C74" t="s">
        <v>31</v>
      </c>
      <c r="D74">
        <v>11868</v>
      </c>
      <c r="E74" t="s">
        <v>20</v>
      </c>
      <c r="F74" t="s">
        <v>24</v>
      </c>
      <c r="G74" t="s">
        <v>24</v>
      </c>
      <c r="H74" t="s">
        <v>24</v>
      </c>
      <c r="I74" t="s">
        <v>24</v>
      </c>
      <c r="J74">
        <v>0.5</v>
      </c>
      <c r="K74">
        <v>320</v>
      </c>
      <c r="L74">
        <v>3.54</v>
      </c>
      <c r="M74">
        <v>51</v>
      </c>
      <c r="N74">
        <v>122.45</v>
      </c>
      <c r="O74">
        <v>80</v>
      </c>
      <c r="P74">
        <v>225</v>
      </c>
      <c r="Q74">
        <v>10</v>
      </c>
      <c r="R74">
        <v>3</v>
      </c>
    </row>
    <row r="75" spans="1:18" x14ac:dyDescent="0.3">
      <c r="A75">
        <v>4190</v>
      </c>
      <c r="B75" t="s">
        <v>23</v>
      </c>
      <c r="C75" t="s">
        <v>31</v>
      </c>
      <c r="D75">
        <v>14060</v>
      </c>
      <c r="E75" t="s">
        <v>20</v>
      </c>
      <c r="F75" t="s">
        <v>24</v>
      </c>
      <c r="G75" t="s">
        <v>24</v>
      </c>
      <c r="H75" t="s">
        <v>24</v>
      </c>
      <c r="I75" t="s">
        <v>24</v>
      </c>
      <c r="J75">
        <v>0.7</v>
      </c>
      <c r="K75">
        <v>132</v>
      </c>
      <c r="L75">
        <v>3.6</v>
      </c>
      <c r="M75">
        <v>17</v>
      </c>
      <c r="N75">
        <v>49.6</v>
      </c>
      <c r="O75">
        <v>56</v>
      </c>
      <c r="P75">
        <v>265</v>
      </c>
      <c r="Q75">
        <v>11</v>
      </c>
      <c r="R75">
        <v>1</v>
      </c>
    </row>
    <row r="76" spans="1:18" x14ac:dyDescent="0.3">
      <c r="A76">
        <v>1827</v>
      </c>
      <c r="B76" t="s">
        <v>18</v>
      </c>
      <c r="C76" t="s">
        <v>19</v>
      </c>
      <c r="D76">
        <v>18964</v>
      </c>
      <c r="E76" t="s">
        <v>20</v>
      </c>
      <c r="F76" t="s">
        <v>24</v>
      </c>
      <c r="G76" t="s">
        <v>21</v>
      </c>
      <c r="H76" t="s">
        <v>21</v>
      </c>
      <c r="I76" t="s">
        <v>24</v>
      </c>
      <c r="J76">
        <v>8.4</v>
      </c>
      <c r="K76">
        <v>558</v>
      </c>
      <c r="L76">
        <v>3.99</v>
      </c>
      <c r="M76">
        <v>280</v>
      </c>
      <c r="N76">
        <v>89.9</v>
      </c>
      <c r="O76">
        <v>309</v>
      </c>
      <c r="P76">
        <v>278</v>
      </c>
      <c r="Q76">
        <v>11</v>
      </c>
      <c r="R76">
        <v>4</v>
      </c>
    </row>
    <row r="77" spans="1:18" x14ac:dyDescent="0.3">
      <c r="A77">
        <v>1191</v>
      </c>
      <c r="B77" t="s">
        <v>18</v>
      </c>
      <c r="C77" t="s">
        <v>19</v>
      </c>
      <c r="D77">
        <v>15895</v>
      </c>
      <c r="E77" t="s">
        <v>20</v>
      </c>
      <c r="F77" t="s">
        <v>21</v>
      </c>
      <c r="G77" t="s">
        <v>21</v>
      </c>
      <c r="H77" t="s">
        <v>21</v>
      </c>
      <c r="I77" t="s">
        <v>27</v>
      </c>
      <c r="J77">
        <v>17.100000000000001</v>
      </c>
      <c r="K77">
        <v>674</v>
      </c>
      <c r="L77">
        <v>2.5299999999999998</v>
      </c>
      <c r="M77">
        <v>207</v>
      </c>
      <c r="N77">
        <v>182.9</v>
      </c>
      <c r="O77">
        <v>598</v>
      </c>
      <c r="P77">
        <v>268</v>
      </c>
      <c r="Q77">
        <v>11.5</v>
      </c>
      <c r="R77">
        <v>4</v>
      </c>
    </row>
    <row r="78" spans="1:18" x14ac:dyDescent="0.3">
      <c r="A78">
        <v>71</v>
      </c>
      <c r="B78" t="s">
        <v>18</v>
      </c>
      <c r="C78" t="s">
        <v>19</v>
      </c>
      <c r="D78">
        <v>18972</v>
      </c>
      <c r="E78" t="s">
        <v>20</v>
      </c>
      <c r="F78" t="s">
        <v>24</v>
      </c>
      <c r="G78" t="s">
        <v>21</v>
      </c>
      <c r="H78" t="s">
        <v>21</v>
      </c>
      <c r="I78" t="s">
        <v>27</v>
      </c>
      <c r="J78">
        <v>12.2</v>
      </c>
      <c r="K78">
        <v>394</v>
      </c>
      <c r="L78">
        <v>3.08</v>
      </c>
      <c r="M78">
        <v>111</v>
      </c>
      <c r="N78">
        <v>155</v>
      </c>
      <c r="O78">
        <v>243</v>
      </c>
      <c r="P78">
        <v>165</v>
      </c>
      <c r="Q78">
        <v>11.6</v>
      </c>
      <c r="R78">
        <v>4</v>
      </c>
    </row>
    <row r="79" spans="1:18" x14ac:dyDescent="0.3">
      <c r="A79">
        <v>326</v>
      </c>
      <c r="B79" t="s">
        <v>18</v>
      </c>
      <c r="C79" t="s">
        <v>31</v>
      </c>
      <c r="D79">
        <v>18199</v>
      </c>
      <c r="E79" t="s">
        <v>20</v>
      </c>
      <c r="F79" t="s">
        <v>24</v>
      </c>
      <c r="G79" t="s">
        <v>21</v>
      </c>
      <c r="H79" t="s">
        <v>21</v>
      </c>
      <c r="I79" t="s">
        <v>27</v>
      </c>
      <c r="J79">
        <v>6.6</v>
      </c>
      <c r="K79">
        <v>244</v>
      </c>
      <c r="L79">
        <v>3.41</v>
      </c>
      <c r="M79">
        <v>199</v>
      </c>
      <c r="N79">
        <v>170.5</v>
      </c>
      <c r="O79">
        <v>91</v>
      </c>
      <c r="P79">
        <v>132</v>
      </c>
      <c r="Q79">
        <v>12.1</v>
      </c>
      <c r="R79">
        <v>3</v>
      </c>
    </row>
    <row r="80" spans="1:18" x14ac:dyDescent="0.3">
      <c r="A80">
        <v>1690</v>
      </c>
      <c r="B80" t="s">
        <v>18</v>
      </c>
      <c r="C80" t="s">
        <v>19</v>
      </c>
      <c r="D80">
        <v>17512</v>
      </c>
      <c r="E80" t="s">
        <v>20</v>
      </c>
      <c r="F80" t="s">
        <v>24</v>
      </c>
      <c r="G80" t="s">
        <v>21</v>
      </c>
      <c r="H80" t="s">
        <v>24</v>
      </c>
      <c r="I80" t="s">
        <v>24</v>
      </c>
      <c r="J80">
        <v>6.3</v>
      </c>
      <c r="K80">
        <v>436</v>
      </c>
      <c r="L80">
        <v>3.02</v>
      </c>
      <c r="M80">
        <v>75</v>
      </c>
      <c r="N80">
        <v>170.5</v>
      </c>
      <c r="O80">
        <v>104</v>
      </c>
      <c r="P80">
        <v>236</v>
      </c>
      <c r="Q80">
        <v>10.6</v>
      </c>
      <c r="R80">
        <v>4</v>
      </c>
    </row>
    <row r="81" spans="1:18" x14ac:dyDescent="0.3">
      <c r="A81">
        <v>3707</v>
      </c>
      <c r="B81" t="s">
        <v>23</v>
      </c>
      <c r="C81" t="s">
        <v>19</v>
      </c>
      <c r="D81">
        <v>16990</v>
      </c>
      <c r="E81" t="s">
        <v>20</v>
      </c>
      <c r="F81" t="s">
        <v>24</v>
      </c>
      <c r="G81" t="s">
        <v>21</v>
      </c>
      <c r="H81" t="s">
        <v>24</v>
      </c>
      <c r="I81" t="s">
        <v>24</v>
      </c>
      <c r="J81">
        <v>0.8</v>
      </c>
      <c r="K81">
        <v>315</v>
      </c>
      <c r="L81">
        <v>4.24</v>
      </c>
      <c r="M81">
        <v>13</v>
      </c>
      <c r="N81">
        <v>170.5</v>
      </c>
      <c r="O81">
        <v>70</v>
      </c>
      <c r="P81">
        <v>426</v>
      </c>
      <c r="Q81">
        <v>10.9</v>
      </c>
      <c r="R81">
        <v>3</v>
      </c>
    </row>
    <row r="82" spans="1:18" x14ac:dyDescent="0.3">
      <c r="A82">
        <v>890</v>
      </c>
      <c r="B82" t="s">
        <v>18</v>
      </c>
      <c r="C82" t="s">
        <v>31</v>
      </c>
      <c r="D82">
        <v>24622</v>
      </c>
      <c r="E82" t="s">
        <v>26</v>
      </c>
      <c r="F82" t="s">
        <v>24</v>
      </c>
      <c r="G82" t="s">
        <v>21</v>
      </c>
      <c r="H82" t="s">
        <v>24</v>
      </c>
      <c r="I82" t="s">
        <v>24</v>
      </c>
      <c r="J82">
        <v>7.2</v>
      </c>
      <c r="K82">
        <v>247</v>
      </c>
      <c r="L82">
        <v>3.72</v>
      </c>
      <c r="M82">
        <v>269</v>
      </c>
      <c r="N82">
        <v>176.7</v>
      </c>
      <c r="O82">
        <v>91</v>
      </c>
      <c r="P82">
        <v>360</v>
      </c>
      <c r="Q82">
        <v>11.2</v>
      </c>
      <c r="R82">
        <v>4</v>
      </c>
    </row>
    <row r="83" spans="1:18" x14ac:dyDescent="0.3">
      <c r="A83">
        <v>2540</v>
      </c>
      <c r="B83" t="s">
        <v>18</v>
      </c>
      <c r="C83" t="s">
        <v>19</v>
      </c>
      <c r="D83">
        <v>23107</v>
      </c>
      <c r="E83" t="s">
        <v>20</v>
      </c>
      <c r="F83" t="s">
        <v>24</v>
      </c>
      <c r="G83" t="s">
        <v>21</v>
      </c>
      <c r="H83" t="s">
        <v>21</v>
      </c>
      <c r="I83" t="s">
        <v>24</v>
      </c>
      <c r="J83">
        <v>14.4</v>
      </c>
      <c r="K83">
        <v>448</v>
      </c>
      <c r="L83">
        <v>3.65</v>
      </c>
      <c r="M83">
        <v>34</v>
      </c>
      <c r="N83">
        <v>60.45</v>
      </c>
      <c r="O83">
        <v>318</v>
      </c>
      <c r="P83">
        <v>385</v>
      </c>
      <c r="Q83">
        <v>11.7</v>
      </c>
      <c r="R83">
        <v>4</v>
      </c>
    </row>
    <row r="84" spans="1:18" x14ac:dyDescent="0.3">
      <c r="A84">
        <v>3574</v>
      </c>
      <c r="B84" t="s">
        <v>18</v>
      </c>
      <c r="C84" t="s">
        <v>19</v>
      </c>
      <c r="D84">
        <v>24585</v>
      </c>
      <c r="E84" t="s">
        <v>20</v>
      </c>
      <c r="F84" t="s">
        <v>24</v>
      </c>
      <c r="G84" t="s">
        <v>24</v>
      </c>
      <c r="H84" t="s">
        <v>24</v>
      </c>
      <c r="I84" t="s">
        <v>24</v>
      </c>
      <c r="J84">
        <v>4.5</v>
      </c>
      <c r="K84">
        <v>472</v>
      </c>
      <c r="L84">
        <v>4.09</v>
      </c>
      <c r="M84">
        <v>154</v>
      </c>
      <c r="N84">
        <v>117.8</v>
      </c>
      <c r="O84">
        <v>272</v>
      </c>
      <c r="P84">
        <v>412</v>
      </c>
      <c r="Q84">
        <v>11.1</v>
      </c>
      <c r="R84">
        <v>3</v>
      </c>
    </row>
    <row r="85" spans="1:18" x14ac:dyDescent="0.3">
      <c r="A85">
        <v>4050</v>
      </c>
      <c r="B85" t="s">
        <v>23</v>
      </c>
      <c r="C85" t="s">
        <v>19</v>
      </c>
      <c r="D85">
        <v>20459</v>
      </c>
      <c r="E85" t="s">
        <v>20</v>
      </c>
      <c r="F85" t="s">
        <v>24</v>
      </c>
      <c r="G85" t="s">
        <v>21</v>
      </c>
      <c r="H85" t="s">
        <v>24</v>
      </c>
      <c r="I85" t="s">
        <v>27</v>
      </c>
      <c r="J85">
        <v>1.3</v>
      </c>
      <c r="K85">
        <v>250</v>
      </c>
      <c r="L85">
        <v>3.5</v>
      </c>
      <c r="M85">
        <v>48</v>
      </c>
      <c r="N85">
        <v>71.3</v>
      </c>
      <c r="O85">
        <v>100</v>
      </c>
      <c r="P85">
        <v>81</v>
      </c>
      <c r="Q85">
        <v>12.9</v>
      </c>
      <c r="R85">
        <v>4</v>
      </c>
    </row>
    <row r="86" spans="1:18" x14ac:dyDescent="0.3">
      <c r="A86">
        <v>4032</v>
      </c>
      <c r="B86" t="s">
        <v>23</v>
      </c>
      <c r="C86" t="s">
        <v>31</v>
      </c>
      <c r="D86">
        <v>20392</v>
      </c>
      <c r="E86" t="s">
        <v>20</v>
      </c>
      <c r="F86" t="s">
        <v>24</v>
      </c>
      <c r="G86" t="s">
        <v>24</v>
      </c>
      <c r="H86" t="s">
        <v>24</v>
      </c>
      <c r="I86" t="s">
        <v>24</v>
      </c>
      <c r="J86">
        <v>0.4</v>
      </c>
      <c r="K86">
        <v>263</v>
      </c>
      <c r="L86">
        <v>3.76</v>
      </c>
      <c r="M86">
        <v>29</v>
      </c>
      <c r="N86">
        <v>137.94999999999999</v>
      </c>
      <c r="O86">
        <v>74</v>
      </c>
      <c r="P86">
        <v>181</v>
      </c>
      <c r="Q86">
        <v>11.2</v>
      </c>
      <c r="R86">
        <v>3</v>
      </c>
    </row>
    <row r="87" spans="1:18" x14ac:dyDescent="0.3">
      <c r="A87">
        <v>3358</v>
      </c>
      <c r="B87" t="s">
        <v>18</v>
      </c>
      <c r="C87" t="s">
        <v>31</v>
      </c>
      <c r="D87">
        <v>17246</v>
      </c>
      <c r="E87" t="s">
        <v>20</v>
      </c>
      <c r="F87" t="s">
        <v>24</v>
      </c>
      <c r="G87" t="s">
        <v>21</v>
      </c>
      <c r="H87" t="s">
        <v>24</v>
      </c>
      <c r="I87" t="s">
        <v>24</v>
      </c>
      <c r="J87">
        <v>2.1</v>
      </c>
      <c r="K87">
        <v>262</v>
      </c>
      <c r="L87">
        <v>3.48</v>
      </c>
      <c r="M87">
        <v>58</v>
      </c>
      <c r="N87">
        <v>89.9</v>
      </c>
      <c r="O87">
        <v>84</v>
      </c>
      <c r="P87">
        <v>225</v>
      </c>
      <c r="Q87">
        <v>11.5</v>
      </c>
      <c r="R87">
        <v>4</v>
      </c>
    </row>
    <row r="88" spans="1:18" x14ac:dyDescent="0.3">
      <c r="A88">
        <v>1657</v>
      </c>
      <c r="B88" t="s">
        <v>18</v>
      </c>
      <c r="C88" t="s">
        <v>19</v>
      </c>
      <c r="D88">
        <v>19270</v>
      </c>
      <c r="E88" t="s">
        <v>20</v>
      </c>
      <c r="F88" t="s">
        <v>24</v>
      </c>
      <c r="G88" t="s">
        <v>21</v>
      </c>
      <c r="H88" t="s">
        <v>21</v>
      </c>
      <c r="I88" t="s">
        <v>24</v>
      </c>
      <c r="J88">
        <v>5</v>
      </c>
      <c r="K88">
        <v>1600</v>
      </c>
      <c r="L88">
        <v>3.21</v>
      </c>
      <c r="M88">
        <v>75</v>
      </c>
      <c r="N88">
        <v>82.15</v>
      </c>
      <c r="O88">
        <v>174</v>
      </c>
      <c r="P88">
        <v>181</v>
      </c>
      <c r="Q88">
        <v>10.9</v>
      </c>
      <c r="R88">
        <v>3</v>
      </c>
    </row>
    <row r="89" spans="1:18" x14ac:dyDescent="0.3">
      <c r="A89">
        <v>198</v>
      </c>
      <c r="B89" t="s">
        <v>18</v>
      </c>
      <c r="C89" t="s">
        <v>19</v>
      </c>
      <c r="D89">
        <v>13616</v>
      </c>
      <c r="E89" t="s">
        <v>20</v>
      </c>
      <c r="F89" t="s">
        <v>24</v>
      </c>
      <c r="G89" t="s">
        <v>24</v>
      </c>
      <c r="H89" t="s">
        <v>24</v>
      </c>
      <c r="I89" t="s">
        <v>24</v>
      </c>
      <c r="J89">
        <v>1.1000000000000001</v>
      </c>
      <c r="K89">
        <v>345</v>
      </c>
      <c r="L89">
        <v>4.4000000000000004</v>
      </c>
      <c r="M89">
        <v>75</v>
      </c>
      <c r="N89">
        <v>218.55</v>
      </c>
      <c r="O89">
        <v>72</v>
      </c>
      <c r="P89">
        <v>447</v>
      </c>
      <c r="Q89">
        <v>10.7</v>
      </c>
      <c r="R89">
        <v>3</v>
      </c>
    </row>
    <row r="90" spans="1:18" x14ac:dyDescent="0.3">
      <c r="A90">
        <v>2452</v>
      </c>
      <c r="B90" t="s">
        <v>23</v>
      </c>
      <c r="C90" t="s">
        <v>31</v>
      </c>
      <c r="D90">
        <v>15119</v>
      </c>
      <c r="E90" t="s">
        <v>20</v>
      </c>
      <c r="F90" t="s">
        <v>24</v>
      </c>
      <c r="G90" t="s">
        <v>24</v>
      </c>
      <c r="H90" t="s">
        <v>24</v>
      </c>
      <c r="I90" t="s">
        <v>27</v>
      </c>
      <c r="J90">
        <v>0.6</v>
      </c>
      <c r="K90">
        <v>296</v>
      </c>
      <c r="L90">
        <v>4.0599999999999996</v>
      </c>
      <c r="M90">
        <v>37</v>
      </c>
      <c r="N90">
        <v>80.599999999999994</v>
      </c>
      <c r="O90">
        <v>83</v>
      </c>
      <c r="P90">
        <v>442</v>
      </c>
      <c r="Q90">
        <v>12</v>
      </c>
      <c r="R90">
        <v>3</v>
      </c>
    </row>
    <row r="91" spans="1:18" x14ac:dyDescent="0.3">
      <c r="A91">
        <v>1741</v>
      </c>
      <c r="B91" t="s">
        <v>18</v>
      </c>
      <c r="C91" t="s">
        <v>19</v>
      </c>
      <c r="D91">
        <v>19155</v>
      </c>
      <c r="E91" t="s">
        <v>20</v>
      </c>
      <c r="F91" t="s">
        <v>24</v>
      </c>
      <c r="G91" t="s">
        <v>21</v>
      </c>
      <c r="H91" t="s">
        <v>24</v>
      </c>
      <c r="I91" t="s">
        <v>24</v>
      </c>
      <c r="J91">
        <v>2</v>
      </c>
      <c r="K91">
        <v>408</v>
      </c>
      <c r="L91">
        <v>3.65</v>
      </c>
      <c r="M91">
        <v>50</v>
      </c>
      <c r="N91">
        <v>110.05</v>
      </c>
      <c r="O91">
        <v>98</v>
      </c>
      <c r="P91">
        <v>200</v>
      </c>
      <c r="Q91">
        <v>11.4</v>
      </c>
      <c r="R91">
        <v>2</v>
      </c>
    </row>
    <row r="92" spans="1:18" x14ac:dyDescent="0.3">
      <c r="A92">
        <v>2689</v>
      </c>
      <c r="B92" t="s">
        <v>18</v>
      </c>
      <c r="C92" t="s">
        <v>19</v>
      </c>
      <c r="D92">
        <v>12227</v>
      </c>
      <c r="E92" t="s">
        <v>26</v>
      </c>
      <c r="F92" t="s">
        <v>24</v>
      </c>
      <c r="G92" t="s">
        <v>24</v>
      </c>
      <c r="H92" t="s">
        <v>24</v>
      </c>
      <c r="I92" t="s">
        <v>24</v>
      </c>
      <c r="J92">
        <v>1.6</v>
      </c>
      <c r="K92">
        <v>660</v>
      </c>
      <c r="L92">
        <v>4.22</v>
      </c>
      <c r="M92">
        <v>94</v>
      </c>
      <c r="N92">
        <v>151.9</v>
      </c>
      <c r="O92">
        <v>155</v>
      </c>
      <c r="P92">
        <v>337</v>
      </c>
      <c r="Q92">
        <v>11</v>
      </c>
      <c r="R92">
        <v>2</v>
      </c>
    </row>
    <row r="93" spans="1:18" x14ac:dyDescent="0.3">
      <c r="A93">
        <v>460</v>
      </c>
      <c r="B93" t="s">
        <v>18</v>
      </c>
      <c r="C93" t="s">
        <v>31</v>
      </c>
      <c r="D93">
        <v>16658</v>
      </c>
      <c r="E93" t="s">
        <v>20</v>
      </c>
      <c r="F93" t="s">
        <v>24</v>
      </c>
      <c r="G93" t="s">
        <v>21</v>
      </c>
      <c r="H93" t="s">
        <v>21</v>
      </c>
      <c r="I93" t="s">
        <v>27</v>
      </c>
      <c r="J93">
        <v>5</v>
      </c>
      <c r="K93">
        <v>325</v>
      </c>
      <c r="L93">
        <v>3.47</v>
      </c>
      <c r="M93">
        <v>110</v>
      </c>
      <c r="N93">
        <v>246.45</v>
      </c>
      <c r="O93">
        <v>56</v>
      </c>
      <c r="P93">
        <v>430</v>
      </c>
      <c r="Q93">
        <v>11.9</v>
      </c>
      <c r="R93">
        <v>4</v>
      </c>
    </row>
    <row r="94" spans="1:18" x14ac:dyDescent="0.3">
      <c r="A94">
        <v>388</v>
      </c>
      <c r="B94" t="s">
        <v>18</v>
      </c>
      <c r="C94" t="s">
        <v>19</v>
      </c>
      <c r="D94">
        <v>28018</v>
      </c>
      <c r="E94" t="s">
        <v>20</v>
      </c>
      <c r="F94" t="s">
        <v>21</v>
      </c>
      <c r="G94" t="s">
        <v>24</v>
      </c>
      <c r="H94" t="s">
        <v>24</v>
      </c>
      <c r="I94" t="s">
        <v>21</v>
      </c>
      <c r="J94">
        <v>1.4</v>
      </c>
      <c r="K94">
        <v>206</v>
      </c>
      <c r="L94">
        <v>3.13</v>
      </c>
      <c r="M94">
        <v>36</v>
      </c>
      <c r="N94">
        <v>86.8</v>
      </c>
      <c r="O94">
        <v>70</v>
      </c>
      <c r="P94">
        <v>145</v>
      </c>
      <c r="Q94">
        <v>12.2</v>
      </c>
      <c r="R94">
        <v>4</v>
      </c>
    </row>
    <row r="95" spans="1:18" x14ac:dyDescent="0.3">
      <c r="A95">
        <v>3913</v>
      </c>
      <c r="B95" t="s">
        <v>23</v>
      </c>
      <c r="C95" t="s">
        <v>19</v>
      </c>
      <c r="D95">
        <v>13344</v>
      </c>
      <c r="E95" t="s">
        <v>20</v>
      </c>
      <c r="F95" t="s">
        <v>24</v>
      </c>
      <c r="G95" t="s">
        <v>24</v>
      </c>
      <c r="H95" t="s">
        <v>24</v>
      </c>
      <c r="I95" t="s">
        <v>24</v>
      </c>
      <c r="J95">
        <v>1.3</v>
      </c>
      <c r="K95">
        <v>353</v>
      </c>
      <c r="L95">
        <v>3.67</v>
      </c>
      <c r="M95">
        <v>73</v>
      </c>
      <c r="N95">
        <v>232.5</v>
      </c>
      <c r="O95">
        <v>68</v>
      </c>
      <c r="P95">
        <v>380</v>
      </c>
      <c r="Q95">
        <v>11.1</v>
      </c>
      <c r="R95">
        <v>2</v>
      </c>
    </row>
    <row r="96" spans="1:18" x14ac:dyDescent="0.3">
      <c r="A96">
        <v>750</v>
      </c>
      <c r="B96" t="s">
        <v>18</v>
      </c>
      <c r="C96" t="s">
        <v>19</v>
      </c>
      <c r="D96">
        <v>19693</v>
      </c>
      <c r="E96" t="s">
        <v>20</v>
      </c>
      <c r="F96" t="s">
        <v>24</v>
      </c>
      <c r="G96" t="s">
        <v>21</v>
      </c>
      <c r="H96" t="s">
        <v>21</v>
      </c>
      <c r="I96" t="s">
        <v>24</v>
      </c>
      <c r="J96">
        <v>3.2</v>
      </c>
      <c r="K96">
        <v>201</v>
      </c>
      <c r="L96">
        <v>3.11</v>
      </c>
      <c r="M96">
        <v>178</v>
      </c>
      <c r="N96">
        <v>159.65</v>
      </c>
      <c r="O96">
        <v>69</v>
      </c>
      <c r="P96">
        <v>188</v>
      </c>
      <c r="Q96">
        <v>11.8</v>
      </c>
      <c r="R96">
        <v>4</v>
      </c>
    </row>
    <row r="97" spans="1:18" x14ac:dyDescent="0.3">
      <c r="A97">
        <v>130</v>
      </c>
      <c r="B97" t="s">
        <v>18</v>
      </c>
      <c r="C97" t="s">
        <v>31</v>
      </c>
      <c r="D97">
        <v>16944</v>
      </c>
      <c r="E97" t="s">
        <v>20</v>
      </c>
      <c r="F97" t="s">
        <v>21</v>
      </c>
      <c r="G97" t="s">
        <v>21</v>
      </c>
      <c r="H97" t="s">
        <v>21</v>
      </c>
      <c r="I97" t="s">
        <v>21</v>
      </c>
      <c r="J97">
        <v>17.399999999999999</v>
      </c>
      <c r="K97" s="10" t="s">
        <v>33</v>
      </c>
      <c r="L97">
        <v>2.64</v>
      </c>
      <c r="M97">
        <v>182</v>
      </c>
      <c r="N97">
        <v>119.35</v>
      </c>
      <c r="O97" s="10" t="s">
        <v>33</v>
      </c>
      <c r="P97">
        <v>401</v>
      </c>
      <c r="Q97">
        <v>11.7</v>
      </c>
      <c r="R97">
        <v>2</v>
      </c>
    </row>
    <row r="98" spans="1:18" x14ac:dyDescent="0.3">
      <c r="A98">
        <v>3850</v>
      </c>
      <c r="B98" t="s">
        <v>23</v>
      </c>
      <c r="C98" t="s">
        <v>19</v>
      </c>
      <c r="D98">
        <v>17841</v>
      </c>
      <c r="E98" t="s">
        <v>20</v>
      </c>
      <c r="F98" t="s">
        <v>24</v>
      </c>
      <c r="G98" t="s">
        <v>24</v>
      </c>
      <c r="H98" t="s">
        <v>24</v>
      </c>
      <c r="I98" t="s">
        <v>24</v>
      </c>
      <c r="J98">
        <v>1</v>
      </c>
      <c r="K98" s="10" t="s">
        <v>33</v>
      </c>
      <c r="L98">
        <v>3.7</v>
      </c>
      <c r="M98">
        <v>33</v>
      </c>
      <c r="N98">
        <v>99.2</v>
      </c>
      <c r="O98" s="10" t="s">
        <v>33</v>
      </c>
      <c r="P98">
        <v>338</v>
      </c>
      <c r="Q98">
        <v>10.4</v>
      </c>
      <c r="R98">
        <v>3</v>
      </c>
    </row>
    <row r="99" spans="1:18" x14ac:dyDescent="0.3">
      <c r="A99">
        <v>611</v>
      </c>
      <c r="B99" t="s">
        <v>18</v>
      </c>
      <c r="C99" t="s">
        <v>31</v>
      </c>
      <c r="D99">
        <v>26259</v>
      </c>
      <c r="E99" t="s">
        <v>26</v>
      </c>
      <c r="F99" t="s">
        <v>24</v>
      </c>
      <c r="G99" t="s">
        <v>21</v>
      </c>
      <c r="H99" t="s">
        <v>24</v>
      </c>
      <c r="I99" t="s">
        <v>27</v>
      </c>
      <c r="J99">
        <v>2</v>
      </c>
      <c r="K99">
        <v>420</v>
      </c>
      <c r="L99">
        <v>3.26</v>
      </c>
      <c r="M99">
        <v>62</v>
      </c>
      <c r="N99">
        <v>77.5</v>
      </c>
      <c r="O99">
        <v>91</v>
      </c>
      <c r="P99">
        <v>344</v>
      </c>
      <c r="Q99">
        <v>11.4</v>
      </c>
      <c r="R99">
        <v>3</v>
      </c>
    </row>
    <row r="100" spans="1:18" x14ac:dyDescent="0.3">
      <c r="A100">
        <v>3823</v>
      </c>
      <c r="B100" t="s">
        <v>23</v>
      </c>
      <c r="C100" t="s">
        <v>19</v>
      </c>
      <c r="D100">
        <v>10550</v>
      </c>
      <c r="E100" t="s">
        <v>20</v>
      </c>
      <c r="F100" t="s">
        <v>24</v>
      </c>
      <c r="G100" t="s">
        <v>24</v>
      </c>
      <c r="H100" t="s">
        <v>24</v>
      </c>
      <c r="I100" t="s">
        <v>24</v>
      </c>
      <c r="J100">
        <v>1</v>
      </c>
      <c r="K100">
        <v>239</v>
      </c>
      <c r="L100">
        <v>3.77</v>
      </c>
      <c r="M100">
        <v>77</v>
      </c>
      <c r="N100">
        <v>97.65</v>
      </c>
      <c r="O100">
        <v>101</v>
      </c>
      <c r="P100">
        <v>312</v>
      </c>
      <c r="Q100">
        <v>10.199999999999999</v>
      </c>
      <c r="R100">
        <v>1</v>
      </c>
    </row>
    <row r="101" spans="1:18" x14ac:dyDescent="0.3">
      <c r="A101">
        <v>3820</v>
      </c>
      <c r="B101" t="s">
        <v>23</v>
      </c>
      <c r="C101" t="s">
        <v>31</v>
      </c>
      <c r="D101">
        <v>17703</v>
      </c>
      <c r="E101" t="s">
        <v>26</v>
      </c>
      <c r="F101" t="s">
        <v>24</v>
      </c>
      <c r="G101" t="s">
        <v>24</v>
      </c>
      <c r="H101" t="s">
        <v>24</v>
      </c>
      <c r="I101" t="s">
        <v>24</v>
      </c>
      <c r="J101">
        <v>1.8</v>
      </c>
      <c r="K101">
        <v>460</v>
      </c>
      <c r="L101">
        <v>3.35</v>
      </c>
      <c r="M101">
        <v>148</v>
      </c>
      <c r="N101">
        <v>108.5</v>
      </c>
      <c r="O101">
        <v>118</v>
      </c>
      <c r="P101">
        <v>172</v>
      </c>
      <c r="Q101">
        <v>10.199999999999999</v>
      </c>
      <c r="R101">
        <v>2</v>
      </c>
    </row>
    <row r="102" spans="1:18" x14ac:dyDescent="0.3">
      <c r="A102">
        <v>552</v>
      </c>
      <c r="B102" t="s">
        <v>18</v>
      </c>
      <c r="C102" t="s">
        <v>31</v>
      </c>
      <c r="D102">
        <v>18799</v>
      </c>
      <c r="E102" t="s">
        <v>26</v>
      </c>
      <c r="F102" t="s">
        <v>24</v>
      </c>
      <c r="G102" t="s">
        <v>21</v>
      </c>
      <c r="H102" t="s">
        <v>24</v>
      </c>
      <c r="I102" t="s">
        <v>24</v>
      </c>
      <c r="J102">
        <v>2.2999999999999998</v>
      </c>
      <c r="K102">
        <v>178</v>
      </c>
      <c r="L102">
        <v>3</v>
      </c>
      <c r="M102">
        <v>145</v>
      </c>
      <c r="N102">
        <v>178.25</v>
      </c>
      <c r="O102">
        <v>122</v>
      </c>
      <c r="P102">
        <v>119</v>
      </c>
      <c r="Q102">
        <v>12</v>
      </c>
      <c r="R102">
        <v>4</v>
      </c>
    </row>
    <row r="103" spans="1:18" x14ac:dyDescent="0.3">
      <c r="A103">
        <v>3581</v>
      </c>
      <c r="B103" t="s">
        <v>23</v>
      </c>
      <c r="C103" t="s">
        <v>31</v>
      </c>
      <c r="D103">
        <v>16418</v>
      </c>
      <c r="E103" t="s">
        <v>20</v>
      </c>
      <c r="F103" t="s">
        <v>24</v>
      </c>
      <c r="G103" t="s">
        <v>24</v>
      </c>
      <c r="H103" t="s">
        <v>24</v>
      </c>
      <c r="I103" t="s">
        <v>24</v>
      </c>
      <c r="J103">
        <v>0.9</v>
      </c>
      <c r="K103">
        <v>400</v>
      </c>
      <c r="L103">
        <v>3.6</v>
      </c>
      <c r="M103">
        <v>31</v>
      </c>
      <c r="N103">
        <v>164.3</v>
      </c>
      <c r="O103">
        <v>166</v>
      </c>
      <c r="P103">
        <v>327</v>
      </c>
      <c r="Q103">
        <v>10.4</v>
      </c>
      <c r="R103">
        <v>3</v>
      </c>
    </row>
    <row r="104" spans="1:18" x14ac:dyDescent="0.3">
      <c r="A104">
        <v>3099</v>
      </c>
      <c r="B104" t="s">
        <v>23</v>
      </c>
      <c r="C104" t="s">
        <v>19</v>
      </c>
      <c r="D104">
        <v>20662</v>
      </c>
      <c r="E104" t="s">
        <v>20</v>
      </c>
      <c r="F104" t="s">
        <v>24</v>
      </c>
      <c r="G104" t="s">
        <v>24</v>
      </c>
      <c r="H104" t="s">
        <v>24</v>
      </c>
      <c r="I104" t="s">
        <v>24</v>
      </c>
      <c r="J104">
        <v>0.9</v>
      </c>
      <c r="K104">
        <v>248</v>
      </c>
      <c r="L104">
        <v>3.97</v>
      </c>
      <c r="M104">
        <v>172</v>
      </c>
      <c r="N104">
        <v>62</v>
      </c>
      <c r="O104">
        <v>84</v>
      </c>
      <c r="P104">
        <v>128</v>
      </c>
      <c r="Q104">
        <v>10.1</v>
      </c>
      <c r="R104">
        <v>1</v>
      </c>
    </row>
    <row r="105" spans="1:18" x14ac:dyDescent="0.3">
      <c r="A105">
        <v>110</v>
      </c>
      <c r="B105" t="s">
        <v>18</v>
      </c>
      <c r="C105" t="s">
        <v>31</v>
      </c>
      <c r="D105">
        <v>17884</v>
      </c>
      <c r="E105" t="s">
        <v>20</v>
      </c>
      <c r="F105" t="s">
        <v>21</v>
      </c>
      <c r="G105" t="s">
        <v>21</v>
      </c>
      <c r="H105" t="s">
        <v>21</v>
      </c>
      <c r="I105" t="s">
        <v>21</v>
      </c>
      <c r="J105">
        <v>2.5</v>
      </c>
      <c r="K105">
        <v>188</v>
      </c>
      <c r="L105">
        <v>3.67</v>
      </c>
      <c r="M105">
        <v>57</v>
      </c>
      <c r="N105">
        <v>119.35</v>
      </c>
      <c r="O105">
        <v>102</v>
      </c>
      <c r="P105">
        <v>110</v>
      </c>
      <c r="Q105">
        <v>11.1</v>
      </c>
      <c r="R105">
        <v>4</v>
      </c>
    </row>
    <row r="106" spans="1:18" x14ac:dyDescent="0.3">
      <c r="A106">
        <v>3086</v>
      </c>
      <c r="B106" t="s">
        <v>18</v>
      </c>
      <c r="C106" t="s">
        <v>19</v>
      </c>
      <c r="D106">
        <v>15712</v>
      </c>
      <c r="E106" t="s">
        <v>20</v>
      </c>
      <c r="F106" t="s">
        <v>24</v>
      </c>
      <c r="G106" t="s">
        <v>24</v>
      </c>
      <c r="H106" t="s">
        <v>24</v>
      </c>
      <c r="I106" t="s">
        <v>24</v>
      </c>
      <c r="J106">
        <v>1.1000000000000001</v>
      </c>
      <c r="K106">
        <v>303</v>
      </c>
      <c r="L106">
        <v>3.64</v>
      </c>
      <c r="M106">
        <v>20</v>
      </c>
      <c r="N106">
        <v>128.65</v>
      </c>
      <c r="O106">
        <v>53</v>
      </c>
      <c r="P106">
        <v>349</v>
      </c>
      <c r="Q106">
        <v>11.1</v>
      </c>
      <c r="R106">
        <v>2</v>
      </c>
    </row>
    <row r="107" spans="1:18" x14ac:dyDescent="0.3">
      <c r="A107">
        <v>3092</v>
      </c>
      <c r="B107" t="s">
        <v>30</v>
      </c>
      <c r="C107" t="s">
        <v>31</v>
      </c>
      <c r="D107">
        <v>12433</v>
      </c>
      <c r="E107" t="s">
        <v>20</v>
      </c>
      <c r="F107" t="s">
        <v>24</v>
      </c>
      <c r="G107" t="s">
        <v>21</v>
      </c>
      <c r="H107" t="s">
        <v>24</v>
      </c>
      <c r="I107" t="s">
        <v>24</v>
      </c>
      <c r="J107">
        <v>1.1000000000000001</v>
      </c>
      <c r="K107">
        <v>464</v>
      </c>
      <c r="L107">
        <v>4.2</v>
      </c>
      <c r="M107">
        <v>38</v>
      </c>
      <c r="N107">
        <v>151.9</v>
      </c>
      <c r="O107">
        <v>102</v>
      </c>
      <c r="P107">
        <v>348</v>
      </c>
      <c r="Q107">
        <v>10.3</v>
      </c>
      <c r="R107">
        <v>3</v>
      </c>
    </row>
    <row r="108" spans="1:18" x14ac:dyDescent="0.3">
      <c r="A108">
        <v>3222</v>
      </c>
      <c r="B108" t="s">
        <v>18</v>
      </c>
      <c r="C108" t="s">
        <v>19</v>
      </c>
      <c r="D108">
        <v>25023</v>
      </c>
      <c r="E108" t="s">
        <v>20</v>
      </c>
      <c r="F108" t="s">
        <v>21</v>
      </c>
      <c r="G108" t="s">
        <v>21</v>
      </c>
      <c r="H108" t="s">
        <v>24</v>
      </c>
      <c r="I108" t="s">
        <v>24</v>
      </c>
      <c r="J108">
        <v>2.1</v>
      </c>
      <c r="K108" s="10" t="s">
        <v>33</v>
      </c>
      <c r="L108">
        <v>3.9</v>
      </c>
      <c r="M108">
        <v>50</v>
      </c>
      <c r="N108">
        <v>103.85</v>
      </c>
      <c r="O108" s="10" t="s">
        <v>33</v>
      </c>
      <c r="P108">
        <v>137</v>
      </c>
      <c r="Q108">
        <v>10.6</v>
      </c>
      <c r="R108">
        <v>2</v>
      </c>
    </row>
    <row r="109" spans="1:18" x14ac:dyDescent="0.3">
      <c r="A109">
        <v>3388</v>
      </c>
      <c r="B109" t="s">
        <v>23</v>
      </c>
      <c r="C109" t="s">
        <v>31</v>
      </c>
      <c r="D109">
        <v>22836</v>
      </c>
      <c r="E109" t="s">
        <v>20</v>
      </c>
      <c r="F109" t="s">
        <v>24</v>
      </c>
      <c r="G109" t="s">
        <v>24</v>
      </c>
      <c r="H109" t="s">
        <v>24</v>
      </c>
      <c r="I109" t="s">
        <v>24</v>
      </c>
      <c r="J109">
        <v>0.6</v>
      </c>
      <c r="K109">
        <v>212</v>
      </c>
      <c r="L109">
        <v>4.03</v>
      </c>
      <c r="M109">
        <v>10</v>
      </c>
      <c r="N109">
        <v>71.3</v>
      </c>
      <c r="O109">
        <v>77</v>
      </c>
      <c r="P109">
        <v>316</v>
      </c>
      <c r="Q109">
        <v>17.100000000000001</v>
      </c>
      <c r="R109">
        <v>1</v>
      </c>
    </row>
    <row r="110" spans="1:18" x14ac:dyDescent="0.3">
      <c r="A110">
        <v>2583</v>
      </c>
      <c r="B110" t="s">
        <v>18</v>
      </c>
      <c r="C110" t="s">
        <v>19</v>
      </c>
      <c r="D110">
        <v>18393</v>
      </c>
      <c r="E110" t="s">
        <v>20</v>
      </c>
      <c r="F110" t="s">
        <v>24</v>
      </c>
      <c r="G110" t="s">
        <v>24</v>
      </c>
      <c r="H110" t="s">
        <v>24</v>
      </c>
      <c r="I110" t="s">
        <v>24</v>
      </c>
      <c r="J110">
        <v>0.4</v>
      </c>
      <c r="K110">
        <v>127</v>
      </c>
      <c r="L110">
        <v>3.5</v>
      </c>
      <c r="M110">
        <v>14</v>
      </c>
      <c r="N110">
        <v>49.6</v>
      </c>
      <c r="O110">
        <v>84</v>
      </c>
      <c r="P110">
        <v>334</v>
      </c>
      <c r="Q110">
        <v>10.3</v>
      </c>
      <c r="R110">
        <v>2</v>
      </c>
    </row>
    <row r="111" spans="1:18" x14ac:dyDescent="0.3">
      <c r="A111">
        <v>2504</v>
      </c>
      <c r="B111" t="s">
        <v>23</v>
      </c>
      <c r="C111" t="s">
        <v>31</v>
      </c>
      <c r="D111">
        <v>16094</v>
      </c>
      <c r="E111" t="s">
        <v>20</v>
      </c>
      <c r="F111" t="s">
        <v>24</v>
      </c>
      <c r="G111" t="s">
        <v>24</v>
      </c>
      <c r="H111" t="s">
        <v>24</v>
      </c>
      <c r="I111" t="s">
        <v>24</v>
      </c>
      <c r="J111">
        <v>0.5</v>
      </c>
      <c r="K111">
        <v>120</v>
      </c>
      <c r="L111">
        <v>3.61</v>
      </c>
      <c r="M111">
        <v>53</v>
      </c>
      <c r="N111">
        <v>110.05</v>
      </c>
      <c r="O111">
        <v>52</v>
      </c>
      <c r="P111">
        <v>271</v>
      </c>
      <c r="Q111">
        <v>10.6</v>
      </c>
      <c r="R111">
        <v>3</v>
      </c>
    </row>
    <row r="112" spans="1:18" x14ac:dyDescent="0.3">
      <c r="A112">
        <v>2105</v>
      </c>
      <c r="B112" t="s">
        <v>18</v>
      </c>
      <c r="C112" t="s">
        <v>19</v>
      </c>
      <c r="D112">
        <v>14212</v>
      </c>
      <c r="E112" t="s">
        <v>20</v>
      </c>
      <c r="F112" t="s">
        <v>24</v>
      </c>
      <c r="G112" t="s">
        <v>21</v>
      </c>
      <c r="H112" t="s">
        <v>21</v>
      </c>
      <c r="I112" t="s">
        <v>24</v>
      </c>
      <c r="J112">
        <v>1.9</v>
      </c>
      <c r="K112">
        <v>486</v>
      </c>
      <c r="L112">
        <v>3.54</v>
      </c>
      <c r="M112">
        <v>74</v>
      </c>
      <c r="N112">
        <v>108.5</v>
      </c>
      <c r="O112">
        <v>109</v>
      </c>
      <c r="P112">
        <v>141</v>
      </c>
      <c r="Q112">
        <v>10.9</v>
      </c>
      <c r="R112">
        <v>3</v>
      </c>
    </row>
    <row r="113" spans="1:18" x14ac:dyDescent="0.3">
      <c r="A113">
        <v>2350</v>
      </c>
      <c r="B113" t="s">
        <v>30</v>
      </c>
      <c r="C113" t="s">
        <v>19</v>
      </c>
      <c r="D113">
        <v>15031</v>
      </c>
      <c r="E113" t="s">
        <v>20</v>
      </c>
      <c r="F113" t="s">
        <v>24</v>
      </c>
      <c r="G113" t="s">
        <v>24</v>
      </c>
      <c r="H113" t="s">
        <v>24</v>
      </c>
      <c r="I113" t="s">
        <v>24</v>
      </c>
      <c r="J113">
        <v>5.5</v>
      </c>
      <c r="K113">
        <v>528</v>
      </c>
      <c r="L113">
        <v>4.18</v>
      </c>
      <c r="M113">
        <v>77</v>
      </c>
      <c r="N113">
        <v>172.05</v>
      </c>
      <c r="O113">
        <v>78</v>
      </c>
      <c r="P113">
        <v>467</v>
      </c>
      <c r="Q113">
        <v>10.7</v>
      </c>
      <c r="R113">
        <v>3</v>
      </c>
    </row>
    <row r="114" spans="1:18" x14ac:dyDescent="0.3">
      <c r="A114">
        <v>3445</v>
      </c>
      <c r="B114" t="s">
        <v>18</v>
      </c>
      <c r="C114" t="s">
        <v>31</v>
      </c>
      <c r="D114">
        <v>20256</v>
      </c>
      <c r="E114" t="s">
        <v>20</v>
      </c>
      <c r="F114" t="s">
        <v>24</v>
      </c>
      <c r="G114" t="s">
        <v>21</v>
      </c>
      <c r="H114" t="s">
        <v>21</v>
      </c>
      <c r="I114" t="s">
        <v>24</v>
      </c>
      <c r="J114">
        <v>2</v>
      </c>
      <c r="K114">
        <v>267</v>
      </c>
      <c r="L114">
        <v>3.67</v>
      </c>
      <c r="M114">
        <v>89</v>
      </c>
      <c r="N114">
        <v>196.85</v>
      </c>
      <c r="O114">
        <v>90</v>
      </c>
      <c r="P114">
        <v>136</v>
      </c>
      <c r="Q114">
        <v>11.8</v>
      </c>
      <c r="R114">
        <v>4</v>
      </c>
    </row>
    <row r="115" spans="1:18" x14ac:dyDescent="0.3">
      <c r="A115">
        <v>980</v>
      </c>
      <c r="B115" t="s">
        <v>18</v>
      </c>
      <c r="C115" t="s">
        <v>19</v>
      </c>
      <c r="D115">
        <v>18713</v>
      </c>
      <c r="E115" t="s">
        <v>20</v>
      </c>
      <c r="F115" t="s">
        <v>24</v>
      </c>
      <c r="G115" t="s">
        <v>21</v>
      </c>
      <c r="H115" t="s">
        <v>21</v>
      </c>
      <c r="I115" t="s">
        <v>24</v>
      </c>
      <c r="J115">
        <v>6.7</v>
      </c>
      <c r="K115">
        <v>374</v>
      </c>
      <c r="L115">
        <v>3.74</v>
      </c>
      <c r="M115">
        <v>103</v>
      </c>
      <c r="N115">
        <v>128.65</v>
      </c>
      <c r="O115">
        <v>100</v>
      </c>
      <c r="P115">
        <v>266</v>
      </c>
      <c r="Q115">
        <v>11.1</v>
      </c>
      <c r="R115">
        <v>4</v>
      </c>
    </row>
    <row r="116" spans="1:18" x14ac:dyDescent="0.3">
      <c r="A116">
        <v>3395</v>
      </c>
      <c r="B116" t="s">
        <v>18</v>
      </c>
      <c r="C116" t="s">
        <v>31</v>
      </c>
      <c r="D116">
        <v>19295</v>
      </c>
      <c r="E116" t="s">
        <v>26</v>
      </c>
      <c r="F116" t="s">
        <v>24</v>
      </c>
      <c r="G116" t="s">
        <v>24</v>
      </c>
      <c r="H116" t="s">
        <v>24</v>
      </c>
      <c r="I116" t="s">
        <v>24</v>
      </c>
      <c r="J116">
        <v>3.2</v>
      </c>
      <c r="K116">
        <v>259</v>
      </c>
      <c r="L116">
        <v>4.3</v>
      </c>
      <c r="M116">
        <v>208</v>
      </c>
      <c r="N116">
        <v>110.05</v>
      </c>
      <c r="O116">
        <v>78</v>
      </c>
      <c r="P116">
        <v>268</v>
      </c>
      <c r="Q116">
        <v>11.7</v>
      </c>
      <c r="R116">
        <v>3</v>
      </c>
    </row>
    <row r="117" spans="1:18" x14ac:dyDescent="0.3">
      <c r="A117">
        <v>3422</v>
      </c>
      <c r="B117" t="s">
        <v>23</v>
      </c>
      <c r="C117" t="s">
        <v>31</v>
      </c>
      <c r="D117">
        <v>15574</v>
      </c>
      <c r="E117" t="s">
        <v>20</v>
      </c>
      <c r="F117" t="s">
        <v>24</v>
      </c>
      <c r="G117" t="s">
        <v>24</v>
      </c>
      <c r="H117" t="s">
        <v>21</v>
      </c>
      <c r="I117" t="s">
        <v>24</v>
      </c>
      <c r="J117">
        <v>0.7</v>
      </c>
      <c r="K117">
        <v>303</v>
      </c>
      <c r="L117">
        <v>4.1900000000000004</v>
      </c>
      <c r="M117">
        <v>81</v>
      </c>
      <c r="N117">
        <v>111.6</v>
      </c>
      <c r="O117">
        <v>156</v>
      </c>
      <c r="P117">
        <v>307</v>
      </c>
      <c r="Q117">
        <v>10.3</v>
      </c>
      <c r="R117">
        <v>3</v>
      </c>
    </row>
    <row r="118" spans="1:18" x14ac:dyDescent="0.3">
      <c r="A118">
        <v>3336</v>
      </c>
      <c r="B118" t="s">
        <v>23</v>
      </c>
      <c r="C118" t="s">
        <v>19</v>
      </c>
      <c r="D118">
        <v>22306</v>
      </c>
      <c r="E118" t="s">
        <v>20</v>
      </c>
      <c r="F118" t="s">
        <v>24</v>
      </c>
      <c r="G118" t="s">
        <v>24</v>
      </c>
      <c r="H118" t="s">
        <v>21</v>
      </c>
      <c r="I118" t="s">
        <v>27</v>
      </c>
      <c r="J118">
        <v>3</v>
      </c>
      <c r="K118">
        <v>458</v>
      </c>
      <c r="L118">
        <v>3.63</v>
      </c>
      <c r="M118">
        <v>74</v>
      </c>
      <c r="N118">
        <v>106.95</v>
      </c>
      <c r="O118">
        <v>382</v>
      </c>
      <c r="P118">
        <v>438</v>
      </c>
      <c r="Q118">
        <v>9.9</v>
      </c>
      <c r="R118">
        <v>3</v>
      </c>
    </row>
    <row r="119" spans="1:18" x14ac:dyDescent="0.3">
      <c r="A119">
        <v>1083</v>
      </c>
      <c r="B119" t="s">
        <v>18</v>
      </c>
      <c r="C119" t="s">
        <v>19</v>
      </c>
      <c r="D119">
        <v>18137</v>
      </c>
      <c r="E119" t="s">
        <v>20</v>
      </c>
      <c r="F119" t="s">
        <v>24</v>
      </c>
      <c r="G119" t="s">
        <v>21</v>
      </c>
      <c r="H119" t="s">
        <v>21</v>
      </c>
      <c r="I119" t="s">
        <v>24</v>
      </c>
      <c r="J119">
        <v>6.5</v>
      </c>
      <c r="K119">
        <v>950</v>
      </c>
      <c r="L119">
        <v>3.11</v>
      </c>
      <c r="M119">
        <v>111</v>
      </c>
      <c r="N119">
        <v>170.5</v>
      </c>
      <c r="O119">
        <v>149</v>
      </c>
      <c r="P119">
        <v>354</v>
      </c>
      <c r="Q119">
        <v>11</v>
      </c>
      <c r="R119">
        <v>4</v>
      </c>
    </row>
    <row r="120" spans="1:18" x14ac:dyDescent="0.3">
      <c r="A120">
        <v>2288</v>
      </c>
      <c r="B120" t="s">
        <v>18</v>
      </c>
      <c r="C120" t="s">
        <v>19</v>
      </c>
      <c r="D120">
        <v>17844</v>
      </c>
      <c r="E120" t="s">
        <v>20</v>
      </c>
      <c r="F120" t="s">
        <v>24</v>
      </c>
      <c r="G120" t="s">
        <v>21</v>
      </c>
      <c r="H120" t="s">
        <v>24</v>
      </c>
      <c r="I120" t="s">
        <v>24</v>
      </c>
      <c r="J120">
        <v>3.5</v>
      </c>
      <c r="K120">
        <v>390</v>
      </c>
      <c r="L120">
        <v>3.3</v>
      </c>
      <c r="M120">
        <v>67</v>
      </c>
      <c r="N120">
        <v>137.94999999999999</v>
      </c>
      <c r="O120">
        <v>93</v>
      </c>
      <c r="P120">
        <v>207</v>
      </c>
      <c r="Q120">
        <v>10.199999999999999</v>
      </c>
      <c r="R120">
        <v>3</v>
      </c>
    </row>
    <row r="121" spans="1:18" x14ac:dyDescent="0.3">
      <c r="A121">
        <v>515</v>
      </c>
      <c r="B121" t="s">
        <v>18</v>
      </c>
      <c r="C121" t="s">
        <v>19</v>
      </c>
      <c r="D121">
        <v>19817</v>
      </c>
      <c r="E121" t="s">
        <v>20</v>
      </c>
      <c r="F121" t="s">
        <v>24</v>
      </c>
      <c r="G121" t="s">
        <v>24</v>
      </c>
      <c r="H121" t="s">
        <v>21</v>
      </c>
      <c r="I121" t="s">
        <v>24</v>
      </c>
      <c r="J121">
        <v>0.6</v>
      </c>
      <c r="K121">
        <v>636</v>
      </c>
      <c r="L121">
        <v>3.83</v>
      </c>
      <c r="M121">
        <v>129</v>
      </c>
      <c r="N121">
        <v>97.65</v>
      </c>
      <c r="O121">
        <v>114</v>
      </c>
      <c r="P121">
        <v>306</v>
      </c>
      <c r="Q121">
        <v>9.5</v>
      </c>
      <c r="R121">
        <v>3</v>
      </c>
    </row>
    <row r="122" spans="1:18" x14ac:dyDescent="0.3">
      <c r="A122">
        <v>2033</v>
      </c>
      <c r="B122" t="s">
        <v>30</v>
      </c>
      <c r="C122" t="s">
        <v>19</v>
      </c>
      <c r="D122">
        <v>12839</v>
      </c>
      <c r="E122" t="s">
        <v>26</v>
      </c>
      <c r="F122" t="s">
        <v>24</v>
      </c>
      <c r="G122" t="s">
        <v>24</v>
      </c>
      <c r="H122" t="s">
        <v>24</v>
      </c>
      <c r="I122" t="s">
        <v>24</v>
      </c>
      <c r="J122">
        <v>3.5</v>
      </c>
      <c r="K122">
        <v>325</v>
      </c>
      <c r="L122">
        <v>3.98</v>
      </c>
      <c r="M122">
        <v>444</v>
      </c>
      <c r="N122">
        <v>130.19999999999999</v>
      </c>
      <c r="O122">
        <v>210</v>
      </c>
      <c r="P122">
        <v>344</v>
      </c>
      <c r="Q122">
        <v>10.6</v>
      </c>
      <c r="R122">
        <v>3</v>
      </c>
    </row>
    <row r="123" spans="1:18" x14ac:dyDescent="0.3">
      <c r="A123">
        <v>191</v>
      </c>
      <c r="B123" t="s">
        <v>18</v>
      </c>
      <c r="C123" t="s">
        <v>31</v>
      </c>
      <c r="D123">
        <v>24803</v>
      </c>
      <c r="E123" t="s">
        <v>26</v>
      </c>
      <c r="F123" t="s">
        <v>21</v>
      </c>
      <c r="G123" t="s">
        <v>21</v>
      </c>
      <c r="H123" t="s">
        <v>24</v>
      </c>
      <c r="I123" t="s">
        <v>21</v>
      </c>
      <c r="J123">
        <v>1.3</v>
      </c>
      <c r="K123">
        <v>151</v>
      </c>
      <c r="L123">
        <v>3.08</v>
      </c>
      <c r="M123">
        <v>73</v>
      </c>
      <c r="N123">
        <v>46.5</v>
      </c>
      <c r="O123">
        <v>49</v>
      </c>
      <c r="P123">
        <v>213</v>
      </c>
      <c r="Q123">
        <v>13.2</v>
      </c>
      <c r="R123">
        <v>4</v>
      </c>
    </row>
    <row r="124" spans="1:18" x14ac:dyDescent="0.3">
      <c r="A124">
        <v>3297</v>
      </c>
      <c r="B124" t="s">
        <v>23</v>
      </c>
      <c r="C124" t="s">
        <v>19</v>
      </c>
      <c r="D124">
        <v>20248</v>
      </c>
      <c r="E124" t="s">
        <v>20</v>
      </c>
      <c r="F124" t="s">
        <v>24</v>
      </c>
      <c r="G124" t="s">
        <v>24</v>
      </c>
      <c r="H124" t="s">
        <v>24</v>
      </c>
      <c r="I124" t="s">
        <v>24</v>
      </c>
      <c r="J124">
        <v>0.6</v>
      </c>
      <c r="K124">
        <v>298</v>
      </c>
      <c r="L124">
        <v>4.13</v>
      </c>
      <c r="M124">
        <v>29</v>
      </c>
      <c r="N124">
        <v>65.099999999999994</v>
      </c>
      <c r="O124">
        <v>85</v>
      </c>
      <c r="P124">
        <v>256</v>
      </c>
      <c r="Q124">
        <v>10.7</v>
      </c>
      <c r="R124">
        <v>3</v>
      </c>
    </row>
    <row r="125" spans="1:18" x14ac:dyDescent="0.3">
      <c r="A125">
        <v>971</v>
      </c>
      <c r="B125" t="s">
        <v>18</v>
      </c>
      <c r="C125" t="s">
        <v>19</v>
      </c>
      <c r="D125">
        <v>16736</v>
      </c>
      <c r="E125" t="s">
        <v>20</v>
      </c>
      <c r="F125" t="s">
        <v>24</v>
      </c>
      <c r="G125" t="s">
        <v>21</v>
      </c>
      <c r="H125" t="s">
        <v>21</v>
      </c>
      <c r="I125" t="s">
        <v>21</v>
      </c>
      <c r="J125">
        <v>5.0999999999999996</v>
      </c>
      <c r="K125" s="10" t="s">
        <v>33</v>
      </c>
      <c r="L125">
        <v>3.23</v>
      </c>
      <c r="M125">
        <v>18</v>
      </c>
      <c r="N125">
        <v>179.8</v>
      </c>
      <c r="O125" s="10" t="s">
        <v>33</v>
      </c>
      <c r="P125">
        <v>104</v>
      </c>
      <c r="Q125">
        <v>13</v>
      </c>
      <c r="R125">
        <v>4</v>
      </c>
    </row>
    <row r="126" spans="1:18" x14ac:dyDescent="0.3">
      <c r="A126">
        <v>3069</v>
      </c>
      <c r="B126" t="s">
        <v>23</v>
      </c>
      <c r="C126" t="s">
        <v>19</v>
      </c>
      <c r="D126">
        <v>19318</v>
      </c>
      <c r="E126" t="s">
        <v>26</v>
      </c>
      <c r="F126" t="s">
        <v>24</v>
      </c>
      <c r="G126" t="s">
        <v>21</v>
      </c>
      <c r="H126" t="s">
        <v>24</v>
      </c>
      <c r="I126" t="s">
        <v>24</v>
      </c>
      <c r="J126">
        <v>0.6</v>
      </c>
      <c r="K126">
        <v>251</v>
      </c>
      <c r="L126">
        <v>3.9</v>
      </c>
      <c r="M126">
        <v>25</v>
      </c>
      <c r="N126">
        <v>57.35</v>
      </c>
      <c r="O126">
        <v>107</v>
      </c>
      <c r="P126">
        <v>182</v>
      </c>
      <c r="Q126">
        <v>10.8</v>
      </c>
      <c r="R126">
        <v>4</v>
      </c>
    </row>
    <row r="127" spans="1:18" x14ac:dyDescent="0.3">
      <c r="A127">
        <v>2468</v>
      </c>
      <c r="B127" t="s">
        <v>30</v>
      </c>
      <c r="C127" t="s">
        <v>31</v>
      </c>
      <c r="D127">
        <v>17233</v>
      </c>
      <c r="E127" t="s">
        <v>20</v>
      </c>
      <c r="F127" t="s">
        <v>24</v>
      </c>
      <c r="G127" t="s">
        <v>21</v>
      </c>
      <c r="H127" t="s">
        <v>24</v>
      </c>
      <c r="I127" t="s">
        <v>24</v>
      </c>
      <c r="J127">
        <v>1.3</v>
      </c>
      <c r="K127">
        <v>316</v>
      </c>
      <c r="L127">
        <v>3.51</v>
      </c>
      <c r="M127">
        <v>75</v>
      </c>
      <c r="N127">
        <v>147.25</v>
      </c>
      <c r="O127">
        <v>137</v>
      </c>
      <c r="P127">
        <v>238</v>
      </c>
      <c r="Q127">
        <v>10</v>
      </c>
      <c r="R127">
        <v>4</v>
      </c>
    </row>
    <row r="128" spans="1:18" x14ac:dyDescent="0.3">
      <c r="A128">
        <v>824</v>
      </c>
      <c r="B128" t="s">
        <v>18</v>
      </c>
      <c r="C128" t="s">
        <v>19</v>
      </c>
      <c r="D128">
        <v>19577</v>
      </c>
      <c r="E128" t="s">
        <v>20</v>
      </c>
      <c r="F128" t="s">
        <v>21</v>
      </c>
      <c r="G128" t="s">
        <v>21</v>
      </c>
      <c r="H128" t="s">
        <v>21</v>
      </c>
      <c r="I128" t="s">
        <v>24</v>
      </c>
      <c r="J128">
        <v>1.2</v>
      </c>
      <c r="K128">
        <v>269</v>
      </c>
      <c r="L128">
        <v>3.12</v>
      </c>
      <c r="M128" s="10" t="s">
        <v>33</v>
      </c>
      <c r="N128">
        <v>165.85</v>
      </c>
      <c r="O128">
        <v>68</v>
      </c>
      <c r="P128">
        <v>166</v>
      </c>
      <c r="Q128">
        <v>11.1</v>
      </c>
      <c r="R128">
        <v>4</v>
      </c>
    </row>
    <row r="129" spans="1:18" x14ac:dyDescent="0.3">
      <c r="A129">
        <v>3255</v>
      </c>
      <c r="B129" t="s">
        <v>23</v>
      </c>
      <c r="C129" t="s">
        <v>31</v>
      </c>
      <c r="D129">
        <v>16109</v>
      </c>
      <c r="E129" t="s">
        <v>20</v>
      </c>
      <c r="F129" t="s">
        <v>24</v>
      </c>
      <c r="G129" t="s">
        <v>24</v>
      </c>
      <c r="H129" t="s">
        <v>24</v>
      </c>
      <c r="I129" t="s">
        <v>24</v>
      </c>
      <c r="J129">
        <v>0.5</v>
      </c>
      <c r="K129">
        <v>268</v>
      </c>
      <c r="L129">
        <v>4.08</v>
      </c>
      <c r="M129">
        <v>9</v>
      </c>
      <c r="N129">
        <v>86.8</v>
      </c>
      <c r="O129">
        <v>95</v>
      </c>
      <c r="P129">
        <v>453</v>
      </c>
      <c r="Q129">
        <v>10</v>
      </c>
      <c r="R129">
        <v>2</v>
      </c>
    </row>
    <row r="130" spans="1:18" x14ac:dyDescent="0.3">
      <c r="A130">
        <v>1037</v>
      </c>
      <c r="B130" t="s">
        <v>18</v>
      </c>
      <c r="C130" t="s">
        <v>19</v>
      </c>
      <c r="D130">
        <v>15322</v>
      </c>
      <c r="E130" t="s">
        <v>20</v>
      </c>
      <c r="F130" t="s">
        <v>24</v>
      </c>
      <c r="G130" t="s">
        <v>21</v>
      </c>
      <c r="H130" t="s">
        <v>21</v>
      </c>
      <c r="I130" t="s">
        <v>24</v>
      </c>
      <c r="J130">
        <v>16.2</v>
      </c>
      <c r="K130" s="10" t="s">
        <v>33</v>
      </c>
      <c r="L130">
        <v>2.89</v>
      </c>
      <c r="M130">
        <v>42</v>
      </c>
      <c r="N130">
        <v>299.14999999999998</v>
      </c>
      <c r="O130" s="10" t="s">
        <v>33</v>
      </c>
      <c r="P130">
        <v>123</v>
      </c>
      <c r="Q130">
        <v>12.6</v>
      </c>
      <c r="R130">
        <v>4</v>
      </c>
    </row>
    <row r="131" spans="1:18" x14ac:dyDescent="0.3">
      <c r="A131">
        <v>3239</v>
      </c>
      <c r="B131" t="s">
        <v>23</v>
      </c>
      <c r="C131" t="s">
        <v>19</v>
      </c>
      <c r="D131">
        <v>23235</v>
      </c>
      <c r="E131" t="s">
        <v>20</v>
      </c>
      <c r="F131" t="s">
        <v>24</v>
      </c>
      <c r="G131" t="s">
        <v>21</v>
      </c>
      <c r="H131" t="s">
        <v>24</v>
      </c>
      <c r="I131" t="s">
        <v>24</v>
      </c>
      <c r="J131">
        <v>0.9</v>
      </c>
      <c r="K131">
        <v>420</v>
      </c>
      <c r="L131">
        <v>3.87</v>
      </c>
      <c r="M131">
        <v>30</v>
      </c>
      <c r="N131">
        <v>57.35</v>
      </c>
      <c r="O131">
        <v>232</v>
      </c>
      <c r="P131" s="10" t="s">
        <v>33</v>
      </c>
      <c r="Q131">
        <v>9.6999999999999993</v>
      </c>
      <c r="R131">
        <v>3</v>
      </c>
    </row>
    <row r="132" spans="1:18" x14ac:dyDescent="0.3">
      <c r="A132">
        <v>1413</v>
      </c>
      <c r="B132" t="s">
        <v>18</v>
      </c>
      <c r="C132" t="s">
        <v>31</v>
      </c>
      <c r="D132">
        <v>16154</v>
      </c>
      <c r="E132" t="s">
        <v>20</v>
      </c>
      <c r="F132" t="s">
        <v>24</v>
      </c>
      <c r="G132" t="s">
        <v>21</v>
      </c>
      <c r="H132" t="s">
        <v>21</v>
      </c>
      <c r="I132" t="s">
        <v>24</v>
      </c>
      <c r="J132">
        <v>17.399999999999999</v>
      </c>
      <c r="K132">
        <v>1775</v>
      </c>
      <c r="L132">
        <v>3.43</v>
      </c>
      <c r="M132">
        <v>205</v>
      </c>
      <c r="N132">
        <v>165.85</v>
      </c>
      <c r="O132">
        <v>97</v>
      </c>
      <c r="P132">
        <v>418</v>
      </c>
      <c r="Q132">
        <v>11.5</v>
      </c>
      <c r="R132">
        <v>3</v>
      </c>
    </row>
    <row r="133" spans="1:18" x14ac:dyDescent="0.3">
      <c r="A133">
        <v>850</v>
      </c>
      <c r="B133" t="s">
        <v>18</v>
      </c>
      <c r="C133" t="s">
        <v>31</v>
      </c>
      <c r="D133">
        <v>22646</v>
      </c>
      <c r="E133" t="s">
        <v>20</v>
      </c>
      <c r="F133" t="s">
        <v>24</v>
      </c>
      <c r="G133" t="s">
        <v>21</v>
      </c>
      <c r="H133" t="s">
        <v>21</v>
      </c>
      <c r="I133" t="s">
        <v>24</v>
      </c>
      <c r="J133">
        <v>2.8</v>
      </c>
      <c r="K133">
        <v>242</v>
      </c>
      <c r="L133">
        <v>3.8</v>
      </c>
      <c r="M133">
        <v>74</v>
      </c>
      <c r="N133">
        <v>136.4</v>
      </c>
      <c r="O133">
        <v>104</v>
      </c>
      <c r="P133">
        <v>121</v>
      </c>
      <c r="Q133">
        <v>13.2</v>
      </c>
      <c r="R133">
        <v>4</v>
      </c>
    </row>
    <row r="134" spans="1:18" x14ac:dyDescent="0.3">
      <c r="A134">
        <v>2944</v>
      </c>
      <c r="B134" t="s">
        <v>23</v>
      </c>
      <c r="C134" t="s">
        <v>19</v>
      </c>
      <c r="D134">
        <v>14812</v>
      </c>
      <c r="E134" t="s">
        <v>20</v>
      </c>
      <c r="F134" t="s">
        <v>24</v>
      </c>
      <c r="G134" t="s">
        <v>24</v>
      </c>
      <c r="H134" t="s">
        <v>24</v>
      </c>
      <c r="I134" t="s">
        <v>24</v>
      </c>
      <c r="J134">
        <v>1.9</v>
      </c>
      <c r="K134">
        <v>448</v>
      </c>
      <c r="L134">
        <v>3.83</v>
      </c>
      <c r="M134">
        <v>60</v>
      </c>
      <c r="N134">
        <v>127.1</v>
      </c>
      <c r="O134">
        <v>175</v>
      </c>
      <c r="P134">
        <v>181</v>
      </c>
      <c r="Q134">
        <v>9.8000000000000007</v>
      </c>
      <c r="R134">
        <v>3</v>
      </c>
    </row>
    <row r="135" spans="1:18" x14ac:dyDescent="0.3">
      <c r="A135">
        <v>2796</v>
      </c>
      <c r="B135" t="s">
        <v>18</v>
      </c>
      <c r="C135" t="s">
        <v>31</v>
      </c>
      <c r="D135">
        <v>22881</v>
      </c>
      <c r="E135" t="s">
        <v>26</v>
      </c>
      <c r="F135" t="s">
        <v>24</v>
      </c>
      <c r="G135" t="s">
        <v>24</v>
      </c>
      <c r="H135" t="s">
        <v>24</v>
      </c>
      <c r="I135" t="s">
        <v>24</v>
      </c>
      <c r="J135">
        <v>1.5</v>
      </c>
      <c r="K135">
        <v>331</v>
      </c>
      <c r="L135">
        <v>3.95</v>
      </c>
      <c r="M135">
        <v>13</v>
      </c>
      <c r="N135">
        <v>128.65</v>
      </c>
      <c r="O135">
        <v>99</v>
      </c>
      <c r="P135">
        <v>165</v>
      </c>
      <c r="Q135">
        <v>10.1</v>
      </c>
      <c r="R135">
        <v>4</v>
      </c>
    </row>
    <row r="136" spans="1:18" x14ac:dyDescent="0.3">
      <c r="A136">
        <v>3149</v>
      </c>
      <c r="B136" t="s">
        <v>23</v>
      </c>
      <c r="C136" t="s">
        <v>31</v>
      </c>
      <c r="D136">
        <v>15463</v>
      </c>
      <c r="E136" t="s">
        <v>20</v>
      </c>
      <c r="F136" t="s">
        <v>24</v>
      </c>
      <c r="G136" t="s">
        <v>24</v>
      </c>
      <c r="H136" t="s">
        <v>24</v>
      </c>
      <c r="I136" t="s">
        <v>24</v>
      </c>
      <c r="J136">
        <v>0.7</v>
      </c>
      <c r="K136">
        <v>578</v>
      </c>
      <c r="L136">
        <v>3.67</v>
      </c>
      <c r="M136">
        <v>35</v>
      </c>
      <c r="N136">
        <v>127.1</v>
      </c>
      <c r="O136">
        <v>105</v>
      </c>
      <c r="P136">
        <v>427</v>
      </c>
      <c r="Q136">
        <v>10.7</v>
      </c>
      <c r="R136">
        <v>2</v>
      </c>
    </row>
    <row r="137" spans="1:18" x14ac:dyDescent="0.3">
      <c r="A137">
        <v>3150</v>
      </c>
      <c r="B137" t="s">
        <v>23</v>
      </c>
      <c r="C137" t="s">
        <v>19</v>
      </c>
      <c r="D137">
        <v>15694</v>
      </c>
      <c r="E137" t="s">
        <v>20</v>
      </c>
      <c r="F137" t="s">
        <v>24</v>
      </c>
      <c r="G137" t="s">
        <v>24</v>
      </c>
      <c r="H137" t="s">
        <v>24</v>
      </c>
      <c r="I137" t="s">
        <v>24</v>
      </c>
      <c r="J137">
        <v>0.4</v>
      </c>
      <c r="K137">
        <v>263</v>
      </c>
      <c r="L137">
        <v>3.57</v>
      </c>
      <c r="M137">
        <v>123</v>
      </c>
      <c r="N137">
        <v>74.400000000000006</v>
      </c>
      <c r="O137">
        <v>121</v>
      </c>
      <c r="P137">
        <v>445</v>
      </c>
      <c r="Q137">
        <v>11</v>
      </c>
      <c r="R137">
        <v>2</v>
      </c>
    </row>
    <row r="138" spans="1:18" x14ac:dyDescent="0.3">
      <c r="A138">
        <v>3098</v>
      </c>
      <c r="B138" t="s">
        <v>23</v>
      </c>
      <c r="C138" t="s">
        <v>19</v>
      </c>
      <c r="D138">
        <v>20440</v>
      </c>
      <c r="E138" t="s">
        <v>20</v>
      </c>
      <c r="F138" t="s">
        <v>24</v>
      </c>
      <c r="G138" t="s">
        <v>24</v>
      </c>
      <c r="H138" t="s">
        <v>24</v>
      </c>
      <c r="I138" t="s">
        <v>24</v>
      </c>
      <c r="J138">
        <v>0.8</v>
      </c>
      <c r="K138">
        <v>263</v>
      </c>
      <c r="L138">
        <v>3.35</v>
      </c>
      <c r="M138">
        <v>27</v>
      </c>
      <c r="N138">
        <v>116.25</v>
      </c>
      <c r="O138">
        <v>69</v>
      </c>
      <c r="P138">
        <v>206</v>
      </c>
      <c r="Q138">
        <v>9.8000000000000007</v>
      </c>
      <c r="R138">
        <v>2</v>
      </c>
    </row>
    <row r="139" spans="1:18" x14ac:dyDescent="0.3">
      <c r="A139">
        <v>2990</v>
      </c>
      <c r="B139" t="s">
        <v>23</v>
      </c>
      <c r="C139" t="s">
        <v>19</v>
      </c>
      <c r="D139">
        <v>22960</v>
      </c>
      <c r="E139" t="s">
        <v>20</v>
      </c>
      <c r="F139" t="s">
        <v>24</v>
      </c>
      <c r="G139" t="s">
        <v>24</v>
      </c>
      <c r="H139" t="s">
        <v>24</v>
      </c>
      <c r="I139" t="s">
        <v>24</v>
      </c>
      <c r="J139">
        <v>1.1000000000000001</v>
      </c>
      <c r="K139">
        <v>399</v>
      </c>
      <c r="L139">
        <v>3.6</v>
      </c>
      <c r="M139">
        <v>79</v>
      </c>
      <c r="N139">
        <v>155</v>
      </c>
      <c r="O139">
        <v>152</v>
      </c>
      <c r="P139">
        <v>344</v>
      </c>
      <c r="Q139">
        <v>10.1</v>
      </c>
      <c r="R139">
        <v>2</v>
      </c>
    </row>
    <row r="140" spans="1:18" x14ac:dyDescent="0.3">
      <c r="A140">
        <v>1297</v>
      </c>
      <c r="B140" t="s">
        <v>18</v>
      </c>
      <c r="C140" t="s">
        <v>19</v>
      </c>
      <c r="D140">
        <v>18719</v>
      </c>
      <c r="E140" t="s">
        <v>26</v>
      </c>
      <c r="F140" t="s">
        <v>24</v>
      </c>
      <c r="G140" t="s">
        <v>21</v>
      </c>
      <c r="H140" t="s">
        <v>24</v>
      </c>
      <c r="I140" t="s">
        <v>24</v>
      </c>
      <c r="J140">
        <v>7.3</v>
      </c>
      <c r="K140">
        <v>426</v>
      </c>
      <c r="L140">
        <v>3.93</v>
      </c>
      <c r="M140">
        <v>262</v>
      </c>
      <c r="N140">
        <v>145.69999999999999</v>
      </c>
      <c r="O140">
        <v>218</v>
      </c>
      <c r="P140">
        <v>252</v>
      </c>
      <c r="Q140">
        <v>10.5</v>
      </c>
      <c r="R140">
        <v>3</v>
      </c>
    </row>
    <row r="141" spans="1:18" x14ac:dyDescent="0.3">
      <c r="A141">
        <v>2106</v>
      </c>
      <c r="B141" t="s">
        <v>23</v>
      </c>
      <c r="C141" t="s">
        <v>31</v>
      </c>
      <c r="D141">
        <v>17080</v>
      </c>
      <c r="E141" t="s">
        <v>20</v>
      </c>
      <c r="F141" t="s">
        <v>24</v>
      </c>
      <c r="G141" t="s">
        <v>21</v>
      </c>
      <c r="H141" t="s">
        <v>24</v>
      </c>
      <c r="I141" t="s">
        <v>24</v>
      </c>
      <c r="J141">
        <v>1.1000000000000001</v>
      </c>
      <c r="K141">
        <v>328</v>
      </c>
      <c r="L141">
        <v>3.31</v>
      </c>
      <c r="M141">
        <v>159</v>
      </c>
      <c r="N141">
        <v>94.55</v>
      </c>
      <c r="O141">
        <v>134</v>
      </c>
      <c r="P141">
        <v>142</v>
      </c>
      <c r="Q141">
        <v>11.6</v>
      </c>
      <c r="R141">
        <v>4</v>
      </c>
    </row>
    <row r="142" spans="1:18" x14ac:dyDescent="0.3">
      <c r="A142">
        <v>3059</v>
      </c>
      <c r="B142" t="s">
        <v>23</v>
      </c>
      <c r="C142" t="s">
        <v>19</v>
      </c>
      <c r="D142">
        <v>19751</v>
      </c>
      <c r="E142" t="s">
        <v>20</v>
      </c>
      <c r="F142" t="s">
        <v>24</v>
      </c>
      <c r="G142" t="s">
        <v>21</v>
      </c>
      <c r="H142" t="s">
        <v>24</v>
      </c>
      <c r="I142" t="s">
        <v>24</v>
      </c>
      <c r="J142">
        <v>1.1000000000000001</v>
      </c>
      <c r="K142">
        <v>290</v>
      </c>
      <c r="L142">
        <v>4.09</v>
      </c>
      <c r="M142">
        <v>38</v>
      </c>
      <c r="N142">
        <v>186</v>
      </c>
      <c r="O142">
        <v>146</v>
      </c>
      <c r="P142">
        <v>318</v>
      </c>
      <c r="Q142">
        <v>10</v>
      </c>
      <c r="R142">
        <v>3</v>
      </c>
    </row>
    <row r="143" spans="1:18" x14ac:dyDescent="0.3">
      <c r="A143">
        <v>3050</v>
      </c>
      <c r="B143" t="s">
        <v>23</v>
      </c>
      <c r="C143" t="s">
        <v>19</v>
      </c>
      <c r="D143">
        <v>17180</v>
      </c>
      <c r="E143" t="s">
        <v>20</v>
      </c>
      <c r="F143" t="s">
        <v>24</v>
      </c>
      <c r="G143" t="s">
        <v>24</v>
      </c>
      <c r="H143" t="s">
        <v>24</v>
      </c>
      <c r="I143" t="s">
        <v>24</v>
      </c>
      <c r="J143">
        <v>0.9</v>
      </c>
      <c r="K143">
        <v>346</v>
      </c>
      <c r="L143">
        <v>3.77</v>
      </c>
      <c r="M143">
        <v>59</v>
      </c>
      <c r="N143">
        <v>125.55</v>
      </c>
      <c r="O143">
        <v>56</v>
      </c>
      <c r="P143">
        <v>336</v>
      </c>
      <c r="Q143">
        <v>10.6</v>
      </c>
      <c r="R143">
        <v>2</v>
      </c>
    </row>
    <row r="144" spans="1:18" x14ac:dyDescent="0.3">
      <c r="A144">
        <v>2419</v>
      </c>
      <c r="B144" t="s">
        <v>18</v>
      </c>
      <c r="C144" t="s">
        <v>31</v>
      </c>
      <c r="D144">
        <v>20354</v>
      </c>
      <c r="E144" t="s">
        <v>20</v>
      </c>
      <c r="F144" t="s">
        <v>24</v>
      </c>
      <c r="G144" t="s">
        <v>21</v>
      </c>
      <c r="H144" t="s">
        <v>24</v>
      </c>
      <c r="I144" t="s">
        <v>24</v>
      </c>
      <c r="J144">
        <v>1</v>
      </c>
      <c r="K144">
        <v>364</v>
      </c>
      <c r="L144">
        <v>3.48</v>
      </c>
      <c r="M144">
        <v>20</v>
      </c>
      <c r="N144">
        <v>134.85</v>
      </c>
      <c r="O144">
        <v>88</v>
      </c>
      <c r="P144">
        <v>283</v>
      </c>
      <c r="Q144">
        <v>9.9</v>
      </c>
      <c r="R144">
        <v>2</v>
      </c>
    </row>
    <row r="145" spans="1:18" x14ac:dyDescent="0.3">
      <c r="A145">
        <v>786</v>
      </c>
      <c r="B145" t="s">
        <v>18</v>
      </c>
      <c r="C145" t="s">
        <v>31</v>
      </c>
      <c r="D145">
        <v>16839</v>
      </c>
      <c r="E145" t="s">
        <v>20</v>
      </c>
      <c r="F145" t="s">
        <v>24</v>
      </c>
      <c r="G145" t="s">
        <v>21</v>
      </c>
      <c r="H145" t="s">
        <v>24</v>
      </c>
      <c r="I145" t="s">
        <v>24</v>
      </c>
      <c r="J145">
        <v>2.9</v>
      </c>
      <c r="K145">
        <v>332</v>
      </c>
      <c r="L145">
        <v>3.6</v>
      </c>
      <c r="M145">
        <v>86</v>
      </c>
      <c r="N145">
        <v>134.85</v>
      </c>
      <c r="O145">
        <v>103</v>
      </c>
      <c r="P145">
        <v>277</v>
      </c>
      <c r="Q145">
        <v>11</v>
      </c>
      <c r="R145">
        <v>4</v>
      </c>
    </row>
    <row r="146" spans="1:18" x14ac:dyDescent="0.3">
      <c r="A146">
        <v>943</v>
      </c>
      <c r="B146" t="s">
        <v>18</v>
      </c>
      <c r="C146" t="s">
        <v>31</v>
      </c>
      <c r="D146">
        <v>19098</v>
      </c>
      <c r="E146" t="s">
        <v>20</v>
      </c>
      <c r="F146" t="s">
        <v>24</v>
      </c>
      <c r="G146" t="s">
        <v>21</v>
      </c>
      <c r="H146" t="s">
        <v>24</v>
      </c>
      <c r="I146" t="s">
        <v>27</v>
      </c>
      <c r="J146">
        <v>28</v>
      </c>
      <c r="K146">
        <v>556</v>
      </c>
      <c r="L146">
        <v>3.26</v>
      </c>
      <c r="M146">
        <v>152</v>
      </c>
      <c r="N146">
        <v>198.4</v>
      </c>
      <c r="O146">
        <v>171</v>
      </c>
      <c r="P146">
        <v>335</v>
      </c>
      <c r="Q146">
        <v>10</v>
      </c>
      <c r="R146">
        <v>3</v>
      </c>
    </row>
    <row r="147" spans="1:18" x14ac:dyDescent="0.3">
      <c r="A147">
        <v>2976</v>
      </c>
      <c r="B147" t="s">
        <v>23</v>
      </c>
      <c r="C147" t="s">
        <v>31</v>
      </c>
      <c r="D147">
        <v>18701</v>
      </c>
      <c r="E147" t="s">
        <v>20</v>
      </c>
      <c r="F147" t="s">
        <v>24</v>
      </c>
      <c r="G147" t="s">
        <v>24</v>
      </c>
      <c r="H147" t="s">
        <v>21</v>
      </c>
      <c r="I147" t="s">
        <v>24</v>
      </c>
      <c r="J147">
        <v>0.7</v>
      </c>
      <c r="K147">
        <v>309</v>
      </c>
      <c r="L147">
        <v>3.84</v>
      </c>
      <c r="M147">
        <v>96</v>
      </c>
      <c r="N147">
        <v>41.85</v>
      </c>
      <c r="O147">
        <v>106</v>
      </c>
      <c r="P147">
        <v>253</v>
      </c>
      <c r="Q147">
        <v>11.4</v>
      </c>
      <c r="R147">
        <v>3</v>
      </c>
    </row>
    <row r="148" spans="1:18" x14ac:dyDescent="0.3">
      <c r="A148">
        <v>2615</v>
      </c>
      <c r="B148" t="s">
        <v>23</v>
      </c>
      <c r="C148" t="s">
        <v>31</v>
      </c>
      <c r="D148">
        <v>12369</v>
      </c>
      <c r="E148" t="s">
        <v>20</v>
      </c>
      <c r="F148" t="s">
        <v>24</v>
      </c>
      <c r="G148" t="s">
        <v>24</v>
      </c>
      <c r="H148" t="s">
        <v>24</v>
      </c>
      <c r="I148" t="s">
        <v>27</v>
      </c>
      <c r="J148">
        <v>1.2</v>
      </c>
      <c r="K148" s="10" t="s">
        <v>33</v>
      </c>
      <c r="L148">
        <v>3.89</v>
      </c>
      <c r="M148">
        <v>58</v>
      </c>
      <c r="N148">
        <v>173.6</v>
      </c>
      <c r="O148" s="10" t="s">
        <v>33</v>
      </c>
      <c r="P148">
        <v>239</v>
      </c>
      <c r="Q148">
        <v>9.4</v>
      </c>
      <c r="R148">
        <v>3</v>
      </c>
    </row>
    <row r="149" spans="1:18" x14ac:dyDescent="0.3">
      <c r="A149">
        <v>2995</v>
      </c>
      <c r="B149" t="s">
        <v>23</v>
      </c>
      <c r="C149" t="s">
        <v>19</v>
      </c>
      <c r="D149">
        <v>27398</v>
      </c>
      <c r="E149" t="s">
        <v>20</v>
      </c>
      <c r="F149" t="s">
        <v>24</v>
      </c>
      <c r="G149" t="s">
        <v>24</v>
      </c>
      <c r="H149" t="s">
        <v>24</v>
      </c>
      <c r="I149" t="s">
        <v>27</v>
      </c>
      <c r="J149">
        <v>1.2</v>
      </c>
      <c r="K149">
        <v>288</v>
      </c>
      <c r="L149">
        <v>3.37</v>
      </c>
      <c r="M149">
        <v>32</v>
      </c>
      <c r="N149">
        <v>57.35</v>
      </c>
      <c r="O149">
        <v>114</v>
      </c>
      <c r="P149">
        <v>213</v>
      </c>
      <c r="Q149">
        <v>10.7</v>
      </c>
      <c r="R149">
        <v>2</v>
      </c>
    </row>
    <row r="150" spans="1:18" x14ac:dyDescent="0.3">
      <c r="A150">
        <v>1427</v>
      </c>
      <c r="B150" t="s">
        <v>18</v>
      </c>
      <c r="C150" t="s">
        <v>31</v>
      </c>
      <c r="D150">
        <v>11273</v>
      </c>
      <c r="E150" t="s">
        <v>20</v>
      </c>
      <c r="F150" t="s">
        <v>24</v>
      </c>
      <c r="G150" t="s">
        <v>21</v>
      </c>
      <c r="H150" t="s">
        <v>24</v>
      </c>
      <c r="I150" t="s">
        <v>24</v>
      </c>
      <c r="J150">
        <v>7.2</v>
      </c>
      <c r="K150">
        <v>1015</v>
      </c>
      <c r="L150">
        <v>3.26</v>
      </c>
      <c r="M150">
        <v>247</v>
      </c>
      <c r="N150">
        <v>198.4</v>
      </c>
      <c r="O150">
        <v>280</v>
      </c>
      <c r="P150">
        <v>330</v>
      </c>
      <c r="Q150">
        <v>9.8000000000000007</v>
      </c>
      <c r="R150">
        <v>3</v>
      </c>
    </row>
    <row r="151" spans="1:18" x14ac:dyDescent="0.3">
      <c r="A151">
        <v>762</v>
      </c>
      <c r="B151" t="s">
        <v>18</v>
      </c>
      <c r="C151" t="s">
        <v>19</v>
      </c>
      <c r="D151">
        <v>22574</v>
      </c>
      <c r="E151" t="s">
        <v>26</v>
      </c>
      <c r="F151" t="s">
        <v>24</v>
      </c>
      <c r="G151" t="s">
        <v>21</v>
      </c>
      <c r="H151" t="s">
        <v>21</v>
      </c>
      <c r="I151" t="s">
        <v>27</v>
      </c>
      <c r="J151">
        <v>3</v>
      </c>
      <c r="K151">
        <v>257</v>
      </c>
      <c r="L151">
        <v>3.79</v>
      </c>
      <c r="M151">
        <v>290</v>
      </c>
      <c r="N151">
        <v>102.3</v>
      </c>
      <c r="O151">
        <v>112</v>
      </c>
      <c r="P151">
        <v>140</v>
      </c>
      <c r="Q151">
        <v>9.9</v>
      </c>
      <c r="R151">
        <v>4</v>
      </c>
    </row>
    <row r="152" spans="1:18" x14ac:dyDescent="0.3">
      <c r="A152">
        <v>2891</v>
      </c>
      <c r="B152" t="s">
        <v>23</v>
      </c>
      <c r="C152" t="s">
        <v>31</v>
      </c>
      <c r="D152">
        <v>12779</v>
      </c>
      <c r="E152" t="s">
        <v>20</v>
      </c>
      <c r="F152" t="s">
        <v>24</v>
      </c>
      <c r="G152" t="s">
        <v>24</v>
      </c>
      <c r="H152" t="s">
        <v>21</v>
      </c>
      <c r="I152" t="s">
        <v>24</v>
      </c>
      <c r="J152">
        <v>1</v>
      </c>
      <c r="K152" s="10" t="s">
        <v>33</v>
      </c>
      <c r="L152">
        <v>3.63</v>
      </c>
      <c r="M152">
        <v>57</v>
      </c>
      <c r="N152">
        <v>134.85</v>
      </c>
      <c r="O152" s="10" t="s">
        <v>33</v>
      </c>
      <c r="P152">
        <v>233</v>
      </c>
      <c r="Q152">
        <v>10</v>
      </c>
      <c r="R152">
        <v>1</v>
      </c>
    </row>
    <row r="153" spans="1:18" x14ac:dyDescent="0.3">
      <c r="A153">
        <v>2870</v>
      </c>
      <c r="B153" t="s">
        <v>23</v>
      </c>
      <c r="C153" t="s">
        <v>19</v>
      </c>
      <c r="D153">
        <v>20104</v>
      </c>
      <c r="E153" t="s">
        <v>20</v>
      </c>
      <c r="F153" t="s">
        <v>24</v>
      </c>
      <c r="G153" t="s">
        <v>24</v>
      </c>
      <c r="H153" t="s">
        <v>24</v>
      </c>
      <c r="I153" t="s">
        <v>24</v>
      </c>
      <c r="J153">
        <v>0.9</v>
      </c>
      <c r="K153">
        <v>460</v>
      </c>
      <c r="L153">
        <v>3.03</v>
      </c>
      <c r="M153">
        <v>57</v>
      </c>
      <c r="N153">
        <v>85.25</v>
      </c>
      <c r="O153">
        <v>174</v>
      </c>
      <c r="P153">
        <v>301</v>
      </c>
      <c r="Q153">
        <v>9.4</v>
      </c>
      <c r="R153">
        <v>2</v>
      </c>
    </row>
    <row r="154" spans="1:18" x14ac:dyDescent="0.3">
      <c r="A154">
        <v>1152</v>
      </c>
      <c r="B154" t="s">
        <v>18</v>
      </c>
      <c r="C154" t="s">
        <v>19</v>
      </c>
      <c r="D154">
        <v>25546</v>
      </c>
      <c r="E154" t="s">
        <v>26</v>
      </c>
      <c r="F154" t="s">
        <v>24</v>
      </c>
      <c r="G154" t="s">
        <v>21</v>
      </c>
      <c r="H154" t="s">
        <v>24</v>
      </c>
      <c r="I154" t="s">
        <v>24</v>
      </c>
      <c r="J154">
        <v>2.2999999999999998</v>
      </c>
      <c r="K154">
        <v>586</v>
      </c>
      <c r="L154">
        <v>3.01</v>
      </c>
      <c r="M154">
        <v>243</v>
      </c>
      <c r="N154">
        <v>114.7</v>
      </c>
      <c r="O154">
        <v>126</v>
      </c>
      <c r="P154">
        <v>339</v>
      </c>
      <c r="Q154">
        <v>10.9</v>
      </c>
      <c r="R154">
        <v>3</v>
      </c>
    </row>
    <row r="155" spans="1:18" x14ac:dyDescent="0.3">
      <c r="A155">
        <v>2863</v>
      </c>
      <c r="B155" t="s">
        <v>23</v>
      </c>
      <c r="C155" t="s">
        <v>19</v>
      </c>
      <c r="D155">
        <v>18118</v>
      </c>
      <c r="E155" t="s">
        <v>20</v>
      </c>
      <c r="F155" t="s">
        <v>24</v>
      </c>
      <c r="G155" t="s">
        <v>24</v>
      </c>
      <c r="H155" t="s">
        <v>24</v>
      </c>
      <c r="I155" t="s">
        <v>24</v>
      </c>
      <c r="J155">
        <v>0.5</v>
      </c>
      <c r="K155">
        <v>217</v>
      </c>
      <c r="L155">
        <v>3.85</v>
      </c>
      <c r="M155">
        <v>68</v>
      </c>
      <c r="N155">
        <v>54.25</v>
      </c>
      <c r="O155">
        <v>68</v>
      </c>
      <c r="P155">
        <v>270</v>
      </c>
      <c r="Q155">
        <v>11.1</v>
      </c>
      <c r="R155">
        <v>1</v>
      </c>
    </row>
    <row r="156" spans="1:18" x14ac:dyDescent="0.3">
      <c r="A156">
        <v>140</v>
      </c>
      <c r="B156" t="s">
        <v>18</v>
      </c>
      <c r="C156" t="s">
        <v>19</v>
      </c>
      <c r="D156">
        <v>25340</v>
      </c>
      <c r="E156" t="s">
        <v>26</v>
      </c>
      <c r="F156" t="s">
        <v>24</v>
      </c>
      <c r="G156" t="s">
        <v>24</v>
      </c>
      <c r="H156" t="s">
        <v>21</v>
      </c>
      <c r="I156" t="s">
        <v>21</v>
      </c>
      <c r="J156">
        <v>2.4</v>
      </c>
      <c r="K156">
        <v>168</v>
      </c>
      <c r="L156">
        <v>2.56</v>
      </c>
      <c r="M156">
        <v>225</v>
      </c>
      <c r="N156">
        <v>120.9</v>
      </c>
      <c r="O156">
        <v>75</v>
      </c>
      <c r="P156">
        <v>108</v>
      </c>
      <c r="Q156">
        <v>14.1</v>
      </c>
      <c r="R156">
        <v>3</v>
      </c>
    </row>
    <row r="157" spans="1:18" x14ac:dyDescent="0.3">
      <c r="A157">
        <v>2666</v>
      </c>
      <c r="B157" t="s">
        <v>23</v>
      </c>
      <c r="C157" t="s">
        <v>31</v>
      </c>
      <c r="D157">
        <v>15909</v>
      </c>
      <c r="E157" t="s">
        <v>20</v>
      </c>
      <c r="F157" t="s">
        <v>24</v>
      </c>
      <c r="G157" t="s">
        <v>21</v>
      </c>
      <c r="H157" t="s">
        <v>21</v>
      </c>
      <c r="I157" t="s">
        <v>27</v>
      </c>
      <c r="J157">
        <v>0.6</v>
      </c>
      <c r="K157">
        <v>220</v>
      </c>
      <c r="L157">
        <v>3.35</v>
      </c>
      <c r="M157">
        <v>57</v>
      </c>
      <c r="N157">
        <v>153.44999999999999</v>
      </c>
      <c r="O157">
        <v>80</v>
      </c>
      <c r="P157">
        <v>311</v>
      </c>
      <c r="Q157">
        <v>11.2</v>
      </c>
      <c r="R157">
        <v>4</v>
      </c>
    </row>
    <row r="158" spans="1:18" x14ac:dyDescent="0.3">
      <c r="A158">
        <v>853</v>
      </c>
      <c r="B158" t="s">
        <v>18</v>
      </c>
      <c r="C158" t="s">
        <v>31</v>
      </c>
      <c r="D158">
        <v>21699</v>
      </c>
      <c r="E158" t="s">
        <v>20</v>
      </c>
      <c r="F158" t="s">
        <v>24</v>
      </c>
      <c r="G158" t="s">
        <v>21</v>
      </c>
      <c r="H158" t="s">
        <v>24</v>
      </c>
      <c r="I158" t="s">
        <v>24</v>
      </c>
      <c r="J158">
        <v>25.5</v>
      </c>
      <c r="K158">
        <v>358</v>
      </c>
      <c r="L158">
        <v>3.52</v>
      </c>
      <c r="M158">
        <v>219</v>
      </c>
      <c r="N158">
        <v>201.5</v>
      </c>
      <c r="O158">
        <v>205</v>
      </c>
      <c r="P158">
        <v>151</v>
      </c>
      <c r="Q158">
        <v>11.5</v>
      </c>
      <c r="R158">
        <v>2</v>
      </c>
    </row>
    <row r="159" spans="1:18" x14ac:dyDescent="0.3">
      <c r="A159">
        <v>2835</v>
      </c>
      <c r="B159" t="s">
        <v>23</v>
      </c>
      <c r="C159" t="s">
        <v>31</v>
      </c>
      <c r="D159">
        <v>17809</v>
      </c>
      <c r="E159" t="s">
        <v>20</v>
      </c>
      <c r="F159" t="s">
        <v>24</v>
      </c>
      <c r="G159" t="s">
        <v>24</v>
      </c>
      <c r="H159" t="s">
        <v>24</v>
      </c>
      <c r="I159" t="s">
        <v>24</v>
      </c>
      <c r="J159">
        <v>0.6</v>
      </c>
      <c r="K159">
        <v>286</v>
      </c>
      <c r="L159">
        <v>3.42</v>
      </c>
      <c r="M159">
        <v>34</v>
      </c>
      <c r="N159">
        <v>77.5</v>
      </c>
      <c r="O159">
        <v>206</v>
      </c>
      <c r="P159">
        <v>487</v>
      </c>
      <c r="Q159">
        <v>10</v>
      </c>
      <c r="R159">
        <v>2</v>
      </c>
    </row>
    <row r="160" spans="1:18" x14ac:dyDescent="0.3">
      <c r="A160">
        <v>2475</v>
      </c>
      <c r="B160" t="s">
        <v>30</v>
      </c>
      <c r="C160" t="s">
        <v>19</v>
      </c>
      <c r="D160">
        <v>13329</v>
      </c>
      <c r="E160" t="s">
        <v>20</v>
      </c>
      <c r="F160" t="s">
        <v>24</v>
      </c>
      <c r="G160" t="s">
        <v>24</v>
      </c>
      <c r="H160" t="s">
        <v>24</v>
      </c>
      <c r="I160" t="s">
        <v>24</v>
      </c>
      <c r="J160">
        <v>3.4</v>
      </c>
      <c r="K160">
        <v>450</v>
      </c>
      <c r="L160">
        <v>3.37</v>
      </c>
      <c r="M160">
        <v>32</v>
      </c>
      <c r="N160">
        <v>116.25</v>
      </c>
      <c r="O160">
        <v>118</v>
      </c>
      <c r="P160">
        <v>313</v>
      </c>
      <c r="Q160">
        <v>11.2</v>
      </c>
      <c r="R160">
        <v>2</v>
      </c>
    </row>
    <row r="161" spans="1:18" x14ac:dyDescent="0.3">
      <c r="A161">
        <v>1536</v>
      </c>
      <c r="B161" t="s">
        <v>18</v>
      </c>
      <c r="C161" t="s">
        <v>31</v>
      </c>
      <c r="D161">
        <v>16714</v>
      </c>
      <c r="E161" t="s">
        <v>26</v>
      </c>
      <c r="F161" t="s">
        <v>24</v>
      </c>
      <c r="G161" t="s">
        <v>24</v>
      </c>
      <c r="H161" t="s">
        <v>24</v>
      </c>
      <c r="I161" t="s">
        <v>24</v>
      </c>
      <c r="J161">
        <v>2.5</v>
      </c>
      <c r="K161">
        <v>317</v>
      </c>
      <c r="L161">
        <v>3.46</v>
      </c>
      <c r="M161">
        <v>217</v>
      </c>
      <c r="N161">
        <v>130.19999999999999</v>
      </c>
      <c r="O161">
        <v>140</v>
      </c>
      <c r="P161">
        <v>207</v>
      </c>
      <c r="Q161">
        <v>10.1</v>
      </c>
      <c r="R161">
        <v>3</v>
      </c>
    </row>
    <row r="162" spans="1:18" x14ac:dyDescent="0.3">
      <c r="A162">
        <v>2772</v>
      </c>
      <c r="B162" t="s">
        <v>23</v>
      </c>
      <c r="C162" t="s">
        <v>31</v>
      </c>
      <c r="D162">
        <v>20955</v>
      </c>
      <c r="E162" t="s">
        <v>20</v>
      </c>
      <c r="F162" t="s">
        <v>24</v>
      </c>
      <c r="G162" t="s">
        <v>24</v>
      </c>
      <c r="H162" t="s">
        <v>24</v>
      </c>
      <c r="I162" t="s">
        <v>24</v>
      </c>
      <c r="J162">
        <v>0.6</v>
      </c>
      <c r="K162">
        <v>217</v>
      </c>
      <c r="L162">
        <v>3.62</v>
      </c>
      <c r="M162">
        <v>13</v>
      </c>
      <c r="N162">
        <v>75.95</v>
      </c>
      <c r="O162">
        <v>119</v>
      </c>
      <c r="P162">
        <v>224</v>
      </c>
      <c r="Q162">
        <v>10.5</v>
      </c>
      <c r="R162">
        <v>3</v>
      </c>
    </row>
    <row r="163" spans="1:18" x14ac:dyDescent="0.3">
      <c r="A163">
        <v>2797</v>
      </c>
      <c r="B163" t="s">
        <v>23</v>
      </c>
      <c r="C163" t="s">
        <v>31</v>
      </c>
      <c r="D163">
        <v>15612</v>
      </c>
      <c r="E163" t="s">
        <v>20</v>
      </c>
      <c r="F163" t="s">
        <v>24</v>
      </c>
      <c r="G163" t="s">
        <v>24</v>
      </c>
      <c r="H163" t="s">
        <v>24</v>
      </c>
      <c r="I163" t="s">
        <v>24</v>
      </c>
      <c r="J163">
        <v>2.2999999999999998</v>
      </c>
      <c r="K163">
        <v>502</v>
      </c>
      <c r="L163">
        <v>3.56</v>
      </c>
      <c r="M163">
        <v>4</v>
      </c>
      <c r="N163">
        <v>120.9</v>
      </c>
      <c r="O163">
        <v>180</v>
      </c>
      <c r="P163">
        <v>269</v>
      </c>
      <c r="Q163">
        <v>9.6</v>
      </c>
      <c r="R163">
        <v>2</v>
      </c>
    </row>
    <row r="164" spans="1:18" x14ac:dyDescent="0.3">
      <c r="A164">
        <v>186</v>
      </c>
      <c r="B164" t="s">
        <v>18</v>
      </c>
      <c r="C164" t="s">
        <v>31</v>
      </c>
      <c r="D164">
        <v>21483</v>
      </c>
      <c r="E164" t="s">
        <v>20</v>
      </c>
      <c r="F164" t="s">
        <v>24</v>
      </c>
      <c r="G164" t="s">
        <v>21</v>
      </c>
      <c r="H164" t="s">
        <v>21</v>
      </c>
      <c r="I164" t="s">
        <v>24</v>
      </c>
      <c r="J164">
        <v>3.2</v>
      </c>
      <c r="K164">
        <v>260</v>
      </c>
      <c r="L164">
        <v>3.19</v>
      </c>
      <c r="M164">
        <v>91</v>
      </c>
      <c r="N164">
        <v>127.1</v>
      </c>
      <c r="O164">
        <v>101</v>
      </c>
      <c r="P164">
        <v>160</v>
      </c>
      <c r="Q164">
        <v>12</v>
      </c>
      <c r="R164">
        <v>4</v>
      </c>
    </row>
    <row r="165" spans="1:18" x14ac:dyDescent="0.3">
      <c r="A165">
        <v>2055</v>
      </c>
      <c r="B165" t="s">
        <v>18</v>
      </c>
      <c r="C165" t="s">
        <v>19</v>
      </c>
      <c r="D165">
        <v>19540</v>
      </c>
      <c r="E165" t="s">
        <v>20</v>
      </c>
      <c r="F165" t="s">
        <v>24</v>
      </c>
      <c r="G165" t="s">
        <v>24</v>
      </c>
      <c r="H165" t="s">
        <v>24</v>
      </c>
      <c r="I165" t="s">
        <v>24</v>
      </c>
      <c r="J165">
        <v>0.3</v>
      </c>
      <c r="K165">
        <v>233</v>
      </c>
      <c r="L165">
        <v>4.08</v>
      </c>
      <c r="M165">
        <v>20</v>
      </c>
      <c r="N165">
        <v>66.650000000000006</v>
      </c>
      <c r="O165">
        <v>68</v>
      </c>
      <c r="P165">
        <v>358</v>
      </c>
      <c r="Q165">
        <v>9.9</v>
      </c>
      <c r="R165">
        <v>3</v>
      </c>
    </row>
    <row r="166" spans="1:18" x14ac:dyDescent="0.3">
      <c r="A166">
        <v>264</v>
      </c>
      <c r="B166" t="s">
        <v>18</v>
      </c>
      <c r="C166" t="s">
        <v>31</v>
      </c>
      <c r="D166">
        <v>15857</v>
      </c>
      <c r="E166" t="s">
        <v>20</v>
      </c>
      <c r="F166" t="s">
        <v>24</v>
      </c>
      <c r="G166" t="s">
        <v>21</v>
      </c>
      <c r="H166" t="s">
        <v>21</v>
      </c>
      <c r="I166" t="s">
        <v>27</v>
      </c>
      <c r="J166">
        <v>8.5</v>
      </c>
      <c r="K166" s="10" t="s">
        <v>33</v>
      </c>
      <c r="L166">
        <v>3.34</v>
      </c>
      <c r="M166">
        <v>161</v>
      </c>
      <c r="N166">
        <v>181.35</v>
      </c>
      <c r="O166" s="10" t="s">
        <v>33</v>
      </c>
      <c r="P166">
        <v>88</v>
      </c>
      <c r="Q166">
        <v>13.3</v>
      </c>
      <c r="R166">
        <v>4</v>
      </c>
    </row>
    <row r="167" spans="1:18" x14ac:dyDescent="0.3">
      <c r="A167">
        <v>1077</v>
      </c>
      <c r="B167" t="s">
        <v>18</v>
      </c>
      <c r="C167" t="s">
        <v>19</v>
      </c>
      <c r="D167">
        <v>19470</v>
      </c>
      <c r="E167" t="s">
        <v>26</v>
      </c>
      <c r="F167" t="s">
        <v>24</v>
      </c>
      <c r="G167" t="s">
        <v>21</v>
      </c>
      <c r="H167" t="s">
        <v>24</v>
      </c>
      <c r="I167" t="s">
        <v>24</v>
      </c>
      <c r="J167">
        <v>4</v>
      </c>
      <c r="K167">
        <v>196</v>
      </c>
      <c r="L167">
        <v>3.45</v>
      </c>
      <c r="M167">
        <v>80</v>
      </c>
      <c r="N167">
        <v>133.30000000000001</v>
      </c>
      <c r="O167">
        <v>142</v>
      </c>
      <c r="P167">
        <v>212</v>
      </c>
      <c r="Q167">
        <v>11.3</v>
      </c>
      <c r="R167">
        <v>4</v>
      </c>
    </row>
    <row r="168" spans="1:18" x14ac:dyDescent="0.3">
      <c r="A168">
        <v>2721</v>
      </c>
      <c r="B168" t="s">
        <v>23</v>
      </c>
      <c r="C168" t="s">
        <v>31</v>
      </c>
      <c r="D168">
        <v>15105</v>
      </c>
      <c r="E168" t="s">
        <v>20</v>
      </c>
      <c r="F168" t="s">
        <v>24</v>
      </c>
      <c r="G168" t="s">
        <v>21</v>
      </c>
      <c r="H168" t="s">
        <v>24</v>
      </c>
      <c r="I168" t="s">
        <v>24</v>
      </c>
      <c r="J168">
        <v>5.7</v>
      </c>
      <c r="K168">
        <v>1480</v>
      </c>
      <c r="L168">
        <v>3.26</v>
      </c>
      <c r="M168">
        <v>84</v>
      </c>
      <c r="N168">
        <v>457.25</v>
      </c>
      <c r="O168">
        <v>108</v>
      </c>
      <c r="P168">
        <v>213</v>
      </c>
      <c r="Q168">
        <v>9.5</v>
      </c>
      <c r="R168">
        <v>2</v>
      </c>
    </row>
    <row r="169" spans="1:18" x14ac:dyDescent="0.3">
      <c r="A169">
        <v>1682</v>
      </c>
      <c r="B169" t="s">
        <v>18</v>
      </c>
      <c r="C169" t="s">
        <v>19</v>
      </c>
      <c r="D169">
        <v>22265</v>
      </c>
      <c r="E169" t="s">
        <v>26</v>
      </c>
      <c r="F169" t="s">
        <v>24</v>
      </c>
      <c r="G169" t="s">
        <v>21</v>
      </c>
      <c r="H169" t="s">
        <v>24</v>
      </c>
      <c r="I169" t="s">
        <v>24</v>
      </c>
      <c r="J169">
        <v>0.9</v>
      </c>
      <c r="K169">
        <v>376</v>
      </c>
      <c r="L169">
        <v>3.86</v>
      </c>
      <c r="M169">
        <v>200</v>
      </c>
      <c r="N169">
        <v>83.7</v>
      </c>
      <c r="O169">
        <v>154</v>
      </c>
      <c r="P169">
        <v>238</v>
      </c>
      <c r="Q169">
        <v>10.3</v>
      </c>
      <c r="R169">
        <v>4</v>
      </c>
    </row>
    <row r="170" spans="1:18" x14ac:dyDescent="0.3">
      <c r="A170">
        <v>2713</v>
      </c>
      <c r="B170" t="s">
        <v>23</v>
      </c>
      <c r="C170" t="s">
        <v>31</v>
      </c>
      <c r="D170">
        <v>17442</v>
      </c>
      <c r="E170" t="s">
        <v>20</v>
      </c>
      <c r="F170" t="s">
        <v>24</v>
      </c>
      <c r="G170" t="s">
        <v>21</v>
      </c>
      <c r="H170" t="s">
        <v>24</v>
      </c>
      <c r="I170" t="s">
        <v>24</v>
      </c>
      <c r="J170">
        <v>0.4</v>
      </c>
      <c r="K170">
        <v>257</v>
      </c>
      <c r="L170">
        <v>3.8</v>
      </c>
      <c r="M170">
        <v>44</v>
      </c>
      <c r="N170">
        <v>97.65</v>
      </c>
      <c r="O170">
        <v>110</v>
      </c>
      <c r="P170" s="10" t="s">
        <v>33</v>
      </c>
      <c r="Q170">
        <v>9.1999999999999993</v>
      </c>
      <c r="R170">
        <v>2</v>
      </c>
    </row>
    <row r="171" spans="1:18" x14ac:dyDescent="0.3">
      <c r="A171">
        <v>1212</v>
      </c>
      <c r="B171" t="s">
        <v>18</v>
      </c>
      <c r="C171" t="s">
        <v>31</v>
      </c>
      <c r="D171">
        <v>12963</v>
      </c>
      <c r="E171" t="s">
        <v>20</v>
      </c>
      <c r="F171" t="s">
        <v>24</v>
      </c>
      <c r="G171" t="s">
        <v>24</v>
      </c>
      <c r="H171" t="s">
        <v>24</v>
      </c>
      <c r="I171" t="s">
        <v>24</v>
      </c>
      <c r="J171">
        <v>1.3</v>
      </c>
      <c r="K171">
        <v>408</v>
      </c>
      <c r="L171">
        <v>4.22</v>
      </c>
      <c r="M171">
        <v>67</v>
      </c>
      <c r="N171">
        <v>142.6</v>
      </c>
      <c r="O171">
        <v>137</v>
      </c>
      <c r="P171">
        <v>295</v>
      </c>
      <c r="Q171">
        <v>10.1</v>
      </c>
      <c r="R171">
        <v>3</v>
      </c>
    </row>
    <row r="172" spans="1:18" x14ac:dyDescent="0.3">
      <c r="A172">
        <v>2692</v>
      </c>
      <c r="B172" t="s">
        <v>23</v>
      </c>
      <c r="C172" t="s">
        <v>19</v>
      </c>
      <c r="D172">
        <v>17774</v>
      </c>
      <c r="E172" t="s">
        <v>20</v>
      </c>
      <c r="F172" t="s">
        <v>24</v>
      </c>
      <c r="G172" t="s">
        <v>24</v>
      </c>
      <c r="H172" t="s">
        <v>24</v>
      </c>
      <c r="I172" t="s">
        <v>24</v>
      </c>
      <c r="J172">
        <v>1.2</v>
      </c>
      <c r="K172">
        <v>390</v>
      </c>
      <c r="L172">
        <v>3.61</v>
      </c>
      <c r="M172">
        <v>32</v>
      </c>
      <c r="N172">
        <v>88.35</v>
      </c>
      <c r="O172">
        <v>52</v>
      </c>
      <c r="P172">
        <v>263</v>
      </c>
      <c r="Q172">
        <v>9</v>
      </c>
      <c r="R172">
        <v>3</v>
      </c>
    </row>
    <row r="173" spans="1:18" x14ac:dyDescent="0.3">
      <c r="A173">
        <v>2574</v>
      </c>
      <c r="B173" t="s">
        <v>23</v>
      </c>
      <c r="C173" t="s">
        <v>19</v>
      </c>
      <c r="D173">
        <v>19237</v>
      </c>
      <c r="E173" t="s">
        <v>20</v>
      </c>
      <c r="F173" t="s">
        <v>24</v>
      </c>
      <c r="G173" t="s">
        <v>24</v>
      </c>
      <c r="H173" t="s">
        <v>24</v>
      </c>
      <c r="I173" t="s">
        <v>24</v>
      </c>
      <c r="J173">
        <v>0.5</v>
      </c>
      <c r="K173" s="10" t="s">
        <v>33</v>
      </c>
      <c r="L173">
        <v>4.5199999999999996</v>
      </c>
      <c r="M173">
        <v>31</v>
      </c>
      <c r="N173">
        <v>74.400000000000006</v>
      </c>
      <c r="O173" s="10" t="s">
        <v>33</v>
      </c>
      <c r="P173">
        <v>361</v>
      </c>
      <c r="Q173">
        <v>10.1</v>
      </c>
      <c r="R173">
        <v>3</v>
      </c>
    </row>
    <row r="174" spans="1:18" x14ac:dyDescent="0.3">
      <c r="A174">
        <v>2301</v>
      </c>
      <c r="B174" t="s">
        <v>23</v>
      </c>
      <c r="C174" t="s">
        <v>31</v>
      </c>
      <c r="D174">
        <v>18215</v>
      </c>
      <c r="E174" t="s">
        <v>20</v>
      </c>
      <c r="F174" t="s">
        <v>24</v>
      </c>
      <c r="G174" t="s">
        <v>24</v>
      </c>
      <c r="H174" t="s">
        <v>21</v>
      </c>
      <c r="I174" t="s">
        <v>24</v>
      </c>
      <c r="J174">
        <v>1.3</v>
      </c>
      <c r="K174">
        <v>205</v>
      </c>
      <c r="L174">
        <v>3.34</v>
      </c>
      <c r="M174">
        <v>65</v>
      </c>
      <c r="N174">
        <v>91.45</v>
      </c>
      <c r="O174">
        <v>126</v>
      </c>
      <c r="P174">
        <v>217</v>
      </c>
      <c r="Q174">
        <v>9.8000000000000007</v>
      </c>
      <c r="R174">
        <v>3</v>
      </c>
    </row>
    <row r="175" spans="1:18" x14ac:dyDescent="0.3">
      <c r="A175">
        <v>2657</v>
      </c>
      <c r="B175" t="s">
        <v>23</v>
      </c>
      <c r="C175" t="s">
        <v>19</v>
      </c>
      <c r="D175">
        <v>11058</v>
      </c>
      <c r="E175" t="s">
        <v>20</v>
      </c>
      <c r="F175" t="s">
        <v>24</v>
      </c>
      <c r="G175" t="s">
        <v>21</v>
      </c>
      <c r="H175" t="s">
        <v>21</v>
      </c>
      <c r="I175" t="s">
        <v>24</v>
      </c>
      <c r="J175">
        <v>3</v>
      </c>
      <c r="K175">
        <v>236</v>
      </c>
      <c r="L175">
        <v>3.42</v>
      </c>
      <c r="M175">
        <v>76</v>
      </c>
      <c r="N175">
        <v>89.9</v>
      </c>
      <c r="O175">
        <v>86</v>
      </c>
      <c r="P175">
        <v>493</v>
      </c>
      <c r="Q175">
        <v>9.8000000000000007</v>
      </c>
      <c r="R175">
        <v>2</v>
      </c>
    </row>
    <row r="176" spans="1:18" x14ac:dyDescent="0.3">
      <c r="A176">
        <v>2644</v>
      </c>
      <c r="B176" t="s">
        <v>23</v>
      </c>
      <c r="C176" t="s">
        <v>19</v>
      </c>
      <c r="D176">
        <v>20296</v>
      </c>
      <c r="E176" t="s">
        <v>20</v>
      </c>
      <c r="F176" t="s">
        <v>24</v>
      </c>
      <c r="G176" t="s">
        <v>24</v>
      </c>
      <c r="H176" t="s">
        <v>24</v>
      </c>
      <c r="I176" t="s">
        <v>24</v>
      </c>
      <c r="J176">
        <v>0.5</v>
      </c>
      <c r="K176" s="10" t="s">
        <v>33</v>
      </c>
      <c r="L176">
        <v>3.85</v>
      </c>
      <c r="M176">
        <v>63</v>
      </c>
      <c r="N176">
        <v>79.05</v>
      </c>
      <c r="O176" s="10" t="s">
        <v>33</v>
      </c>
      <c r="P176">
        <v>311</v>
      </c>
      <c r="Q176">
        <v>9.6999999999999993</v>
      </c>
      <c r="R176">
        <v>1</v>
      </c>
    </row>
    <row r="177" spans="1:18" x14ac:dyDescent="0.3">
      <c r="A177">
        <v>2624</v>
      </c>
      <c r="B177" t="s">
        <v>23</v>
      </c>
      <c r="C177" t="s">
        <v>31</v>
      </c>
      <c r="D177">
        <v>19049</v>
      </c>
      <c r="E177" t="s">
        <v>20</v>
      </c>
      <c r="F177" t="s">
        <v>24</v>
      </c>
      <c r="G177" t="s">
        <v>24</v>
      </c>
      <c r="H177" t="s">
        <v>24</v>
      </c>
      <c r="I177" t="s">
        <v>24</v>
      </c>
      <c r="J177">
        <v>0.8</v>
      </c>
      <c r="K177">
        <v>283</v>
      </c>
      <c r="L177">
        <v>3.8</v>
      </c>
      <c r="M177">
        <v>152</v>
      </c>
      <c r="N177">
        <v>108.5</v>
      </c>
      <c r="O177">
        <v>168</v>
      </c>
      <c r="P177">
        <v>340</v>
      </c>
      <c r="Q177">
        <v>10.1</v>
      </c>
      <c r="R177">
        <v>3</v>
      </c>
    </row>
    <row r="178" spans="1:18" x14ac:dyDescent="0.3">
      <c r="A178">
        <v>1492</v>
      </c>
      <c r="B178" t="s">
        <v>18</v>
      </c>
      <c r="C178" t="s">
        <v>19</v>
      </c>
      <c r="D178">
        <v>15198</v>
      </c>
      <c r="E178" t="s">
        <v>20</v>
      </c>
      <c r="F178" t="s">
        <v>24</v>
      </c>
      <c r="G178" t="s">
        <v>21</v>
      </c>
      <c r="H178" t="s">
        <v>21</v>
      </c>
      <c r="I178" t="s">
        <v>24</v>
      </c>
      <c r="J178">
        <v>3.2</v>
      </c>
      <c r="K178" s="10" t="s">
        <v>33</v>
      </c>
      <c r="L178">
        <v>3.56</v>
      </c>
      <c r="M178">
        <v>77</v>
      </c>
      <c r="N178">
        <v>139.5</v>
      </c>
      <c r="O178" s="10" t="s">
        <v>33</v>
      </c>
      <c r="P178">
        <v>149</v>
      </c>
      <c r="Q178">
        <v>10.1</v>
      </c>
      <c r="R178">
        <v>4</v>
      </c>
    </row>
    <row r="179" spans="1:18" x14ac:dyDescent="0.3">
      <c r="A179">
        <v>2609</v>
      </c>
      <c r="B179" t="s">
        <v>23</v>
      </c>
      <c r="C179" t="s">
        <v>31</v>
      </c>
      <c r="D179">
        <v>20254</v>
      </c>
      <c r="E179" t="s">
        <v>20</v>
      </c>
      <c r="F179" t="s">
        <v>24</v>
      </c>
      <c r="G179" t="s">
        <v>24</v>
      </c>
      <c r="H179" t="s">
        <v>24</v>
      </c>
      <c r="I179" t="s">
        <v>24</v>
      </c>
      <c r="J179">
        <v>0.9</v>
      </c>
      <c r="K179">
        <v>258</v>
      </c>
      <c r="L179">
        <v>4.01</v>
      </c>
      <c r="M179">
        <v>49</v>
      </c>
      <c r="N179">
        <v>43.4</v>
      </c>
      <c r="O179">
        <v>133</v>
      </c>
      <c r="P179">
        <v>277</v>
      </c>
      <c r="Q179">
        <v>10.4</v>
      </c>
      <c r="R179">
        <v>2</v>
      </c>
    </row>
    <row r="180" spans="1:18" x14ac:dyDescent="0.3">
      <c r="A180">
        <v>2580</v>
      </c>
      <c r="B180" t="s">
        <v>23</v>
      </c>
      <c r="C180" t="s">
        <v>19</v>
      </c>
      <c r="D180">
        <v>25569</v>
      </c>
      <c r="E180" t="s">
        <v>20</v>
      </c>
      <c r="F180" t="s">
        <v>24</v>
      </c>
      <c r="G180" t="s">
        <v>24</v>
      </c>
      <c r="H180" t="s">
        <v>24</v>
      </c>
      <c r="I180" t="s">
        <v>24</v>
      </c>
      <c r="J180">
        <v>0.6</v>
      </c>
      <c r="K180" s="10" t="s">
        <v>33</v>
      </c>
      <c r="L180">
        <v>4.08</v>
      </c>
      <c r="M180">
        <v>51</v>
      </c>
      <c r="N180">
        <v>74.400000000000006</v>
      </c>
      <c r="O180" s="10" t="s">
        <v>33</v>
      </c>
      <c r="P180">
        <v>325</v>
      </c>
      <c r="Q180">
        <v>10.199999999999999</v>
      </c>
      <c r="R180">
        <v>4</v>
      </c>
    </row>
    <row r="181" spans="1:18" x14ac:dyDescent="0.3">
      <c r="A181">
        <v>2573</v>
      </c>
      <c r="B181" t="s">
        <v>23</v>
      </c>
      <c r="C181" t="s">
        <v>31</v>
      </c>
      <c r="D181">
        <v>16050</v>
      </c>
      <c r="E181" t="s">
        <v>20</v>
      </c>
      <c r="F181" t="s">
        <v>24</v>
      </c>
      <c r="G181" t="s">
        <v>21</v>
      </c>
      <c r="H181" t="s">
        <v>24</v>
      </c>
      <c r="I181" t="s">
        <v>24</v>
      </c>
      <c r="J181">
        <v>1.8</v>
      </c>
      <c r="K181">
        <v>396</v>
      </c>
      <c r="L181">
        <v>3.83</v>
      </c>
      <c r="M181">
        <v>39</v>
      </c>
      <c r="N181">
        <v>102.3</v>
      </c>
      <c r="O181">
        <v>133</v>
      </c>
      <c r="P181">
        <v>278</v>
      </c>
      <c r="Q181">
        <v>9.9</v>
      </c>
      <c r="R181">
        <v>4</v>
      </c>
    </row>
    <row r="182" spans="1:18" x14ac:dyDescent="0.3">
      <c r="A182">
        <v>2563</v>
      </c>
      <c r="B182" t="s">
        <v>23</v>
      </c>
      <c r="C182" t="s">
        <v>31</v>
      </c>
      <c r="D182">
        <v>15548</v>
      </c>
      <c r="E182" t="s">
        <v>20</v>
      </c>
      <c r="F182" t="s">
        <v>24</v>
      </c>
      <c r="G182" t="s">
        <v>24</v>
      </c>
      <c r="H182" t="s">
        <v>24</v>
      </c>
      <c r="I182" t="s">
        <v>24</v>
      </c>
      <c r="J182">
        <v>4.7</v>
      </c>
      <c r="K182">
        <v>478</v>
      </c>
      <c r="L182">
        <v>4.38</v>
      </c>
      <c r="M182">
        <v>44</v>
      </c>
      <c r="N182">
        <v>237.15</v>
      </c>
      <c r="O182">
        <v>76</v>
      </c>
      <c r="P182">
        <v>175</v>
      </c>
      <c r="Q182">
        <v>10.4</v>
      </c>
      <c r="R182">
        <v>3</v>
      </c>
    </row>
    <row r="183" spans="1:18" x14ac:dyDescent="0.3">
      <c r="A183">
        <v>2556</v>
      </c>
      <c r="B183" t="s">
        <v>23</v>
      </c>
      <c r="C183" t="s">
        <v>19</v>
      </c>
      <c r="D183">
        <v>16279</v>
      </c>
      <c r="E183" t="s">
        <v>20</v>
      </c>
      <c r="F183" t="s">
        <v>24</v>
      </c>
      <c r="G183" t="s">
        <v>21</v>
      </c>
      <c r="H183" t="s">
        <v>21</v>
      </c>
      <c r="I183" t="s">
        <v>24</v>
      </c>
      <c r="J183">
        <v>1.4</v>
      </c>
      <c r="K183">
        <v>248</v>
      </c>
      <c r="L183">
        <v>3.58</v>
      </c>
      <c r="M183">
        <v>63</v>
      </c>
      <c r="N183">
        <v>75.95</v>
      </c>
      <c r="O183">
        <v>106</v>
      </c>
      <c r="P183">
        <v>79</v>
      </c>
      <c r="Q183">
        <v>10.3</v>
      </c>
      <c r="R183">
        <v>4</v>
      </c>
    </row>
    <row r="184" spans="1:18" x14ac:dyDescent="0.3">
      <c r="A184">
        <v>2555</v>
      </c>
      <c r="B184" t="s">
        <v>23</v>
      </c>
      <c r="C184" t="s">
        <v>19</v>
      </c>
      <c r="D184">
        <v>20799</v>
      </c>
      <c r="E184" t="s">
        <v>20</v>
      </c>
      <c r="F184" t="s">
        <v>24</v>
      </c>
      <c r="G184" t="s">
        <v>21</v>
      </c>
      <c r="H184" t="s">
        <v>24</v>
      </c>
      <c r="I184" t="s">
        <v>24</v>
      </c>
      <c r="J184">
        <v>0.6</v>
      </c>
      <c r="K184" s="10" t="s">
        <v>33</v>
      </c>
      <c r="L184">
        <v>3.69</v>
      </c>
      <c r="M184">
        <v>161</v>
      </c>
      <c r="N184">
        <v>26.35</v>
      </c>
      <c r="O184" s="10" t="s">
        <v>33</v>
      </c>
      <c r="P184">
        <v>539</v>
      </c>
      <c r="Q184">
        <v>9.9</v>
      </c>
      <c r="R184">
        <v>2</v>
      </c>
    </row>
    <row r="185" spans="1:18" x14ac:dyDescent="0.3">
      <c r="A185">
        <v>2241</v>
      </c>
      <c r="B185" t="s">
        <v>30</v>
      </c>
      <c r="C185" t="s">
        <v>31</v>
      </c>
      <c r="D185">
        <v>14705</v>
      </c>
      <c r="E185" t="s">
        <v>20</v>
      </c>
      <c r="F185" t="s">
        <v>24</v>
      </c>
      <c r="G185" t="s">
        <v>24</v>
      </c>
      <c r="H185" t="s">
        <v>24</v>
      </c>
      <c r="I185" t="s">
        <v>24</v>
      </c>
      <c r="J185">
        <v>0.5</v>
      </c>
      <c r="K185">
        <v>201</v>
      </c>
      <c r="L185">
        <v>3.73</v>
      </c>
      <c r="M185">
        <v>44</v>
      </c>
      <c r="N185">
        <v>54.25</v>
      </c>
      <c r="O185">
        <v>145</v>
      </c>
      <c r="P185">
        <v>445</v>
      </c>
      <c r="Q185">
        <v>10.1</v>
      </c>
      <c r="R185">
        <v>2</v>
      </c>
    </row>
    <row r="186" spans="1:18" x14ac:dyDescent="0.3">
      <c r="A186">
        <v>974</v>
      </c>
      <c r="B186" t="s">
        <v>18</v>
      </c>
      <c r="C186" t="s">
        <v>31</v>
      </c>
      <c r="D186">
        <v>13736</v>
      </c>
      <c r="E186" t="s">
        <v>20</v>
      </c>
      <c r="F186" t="s">
        <v>24</v>
      </c>
      <c r="G186" t="s">
        <v>21</v>
      </c>
      <c r="H186" t="s">
        <v>24</v>
      </c>
      <c r="I186" t="s">
        <v>24</v>
      </c>
      <c r="J186">
        <v>11</v>
      </c>
      <c r="K186">
        <v>674</v>
      </c>
      <c r="L186">
        <v>3.55</v>
      </c>
      <c r="M186">
        <v>358</v>
      </c>
      <c r="N186">
        <v>167.4</v>
      </c>
      <c r="O186">
        <v>140</v>
      </c>
      <c r="P186">
        <v>471</v>
      </c>
      <c r="Q186">
        <v>9.8000000000000007</v>
      </c>
      <c r="R186">
        <v>3</v>
      </c>
    </row>
    <row r="187" spans="1:18" x14ac:dyDescent="0.3">
      <c r="A187">
        <v>2527</v>
      </c>
      <c r="B187" t="s">
        <v>23</v>
      </c>
      <c r="C187" t="s">
        <v>19</v>
      </c>
      <c r="D187">
        <v>17664</v>
      </c>
      <c r="E187" t="s">
        <v>20</v>
      </c>
      <c r="F187" t="s">
        <v>24</v>
      </c>
      <c r="G187" t="s">
        <v>24</v>
      </c>
      <c r="H187" t="s">
        <v>24</v>
      </c>
      <c r="I187" t="s">
        <v>24</v>
      </c>
      <c r="J187">
        <v>0.8</v>
      </c>
      <c r="K187">
        <v>256</v>
      </c>
      <c r="L187">
        <v>3.54</v>
      </c>
      <c r="M187">
        <v>42</v>
      </c>
      <c r="N187">
        <v>74.400000000000006</v>
      </c>
      <c r="O187">
        <v>94</v>
      </c>
      <c r="P187">
        <v>192</v>
      </c>
      <c r="Q187">
        <v>10.5</v>
      </c>
      <c r="R187">
        <v>3</v>
      </c>
    </row>
    <row r="188" spans="1:18" x14ac:dyDescent="0.3">
      <c r="A188">
        <v>1576</v>
      </c>
      <c r="B188" t="s">
        <v>18</v>
      </c>
      <c r="C188" t="s">
        <v>19</v>
      </c>
      <c r="D188">
        <v>25873</v>
      </c>
      <c r="E188" t="s">
        <v>20</v>
      </c>
      <c r="F188" t="s">
        <v>24</v>
      </c>
      <c r="G188" t="s">
        <v>24</v>
      </c>
      <c r="H188" t="s">
        <v>21</v>
      </c>
      <c r="I188" t="s">
        <v>27</v>
      </c>
      <c r="J188">
        <v>2</v>
      </c>
      <c r="K188">
        <v>225</v>
      </c>
      <c r="L188">
        <v>3.53</v>
      </c>
      <c r="M188">
        <v>51</v>
      </c>
      <c r="N188">
        <v>69.75</v>
      </c>
      <c r="O188">
        <v>62</v>
      </c>
      <c r="P188">
        <v>200</v>
      </c>
      <c r="Q188">
        <v>12.7</v>
      </c>
      <c r="R188">
        <v>3</v>
      </c>
    </row>
    <row r="189" spans="1:18" x14ac:dyDescent="0.3">
      <c r="A189">
        <v>733</v>
      </c>
      <c r="B189" t="s">
        <v>18</v>
      </c>
      <c r="C189" t="s">
        <v>31</v>
      </c>
      <c r="D189">
        <v>13073</v>
      </c>
      <c r="E189" t="s">
        <v>20</v>
      </c>
      <c r="F189" t="s">
        <v>24</v>
      </c>
      <c r="G189" t="s">
        <v>21</v>
      </c>
      <c r="H189" t="s">
        <v>24</v>
      </c>
      <c r="I189" t="s">
        <v>24</v>
      </c>
      <c r="J189">
        <v>14</v>
      </c>
      <c r="K189">
        <v>808</v>
      </c>
      <c r="L189">
        <v>3.43</v>
      </c>
      <c r="M189">
        <v>251</v>
      </c>
      <c r="N189">
        <v>153.44999999999999</v>
      </c>
      <c r="O189">
        <v>137</v>
      </c>
      <c r="P189">
        <v>268</v>
      </c>
      <c r="Q189">
        <v>11.5</v>
      </c>
      <c r="R189">
        <v>3</v>
      </c>
    </row>
    <row r="190" spans="1:18" x14ac:dyDescent="0.3">
      <c r="A190">
        <v>2332</v>
      </c>
      <c r="B190" t="s">
        <v>23</v>
      </c>
      <c r="C190" t="s">
        <v>19</v>
      </c>
      <c r="D190">
        <v>22873</v>
      </c>
      <c r="E190" t="s">
        <v>20</v>
      </c>
      <c r="F190" t="s">
        <v>24</v>
      </c>
      <c r="G190" t="s">
        <v>21</v>
      </c>
      <c r="H190" t="s">
        <v>24</v>
      </c>
      <c r="I190" t="s">
        <v>24</v>
      </c>
      <c r="J190">
        <v>0.7</v>
      </c>
      <c r="K190">
        <v>187</v>
      </c>
      <c r="L190">
        <v>3.48</v>
      </c>
      <c r="M190">
        <v>41</v>
      </c>
      <c r="N190">
        <v>120.9</v>
      </c>
      <c r="O190">
        <v>98</v>
      </c>
      <c r="P190">
        <v>164</v>
      </c>
      <c r="Q190">
        <v>11</v>
      </c>
      <c r="R190">
        <v>4</v>
      </c>
    </row>
    <row r="191" spans="1:18" x14ac:dyDescent="0.3">
      <c r="A191">
        <v>2255</v>
      </c>
      <c r="B191" t="s">
        <v>23</v>
      </c>
      <c r="C191" t="s">
        <v>19</v>
      </c>
      <c r="D191">
        <v>22642</v>
      </c>
      <c r="E191" t="s">
        <v>20</v>
      </c>
      <c r="F191" t="s">
        <v>24</v>
      </c>
      <c r="G191" t="s">
        <v>24</v>
      </c>
      <c r="H191" t="s">
        <v>24</v>
      </c>
      <c r="I191" t="s">
        <v>24</v>
      </c>
      <c r="J191">
        <v>0.6</v>
      </c>
      <c r="K191">
        <v>213</v>
      </c>
      <c r="L191">
        <v>4.07</v>
      </c>
      <c r="M191">
        <v>12</v>
      </c>
      <c r="N191">
        <v>57.35</v>
      </c>
      <c r="O191">
        <v>68</v>
      </c>
      <c r="P191">
        <v>240</v>
      </c>
      <c r="Q191">
        <v>11</v>
      </c>
      <c r="R191">
        <v>1</v>
      </c>
    </row>
    <row r="192" spans="1:18" x14ac:dyDescent="0.3">
      <c r="A192">
        <v>2171</v>
      </c>
      <c r="B192" t="s">
        <v>23</v>
      </c>
      <c r="C192" t="s">
        <v>19</v>
      </c>
      <c r="D192">
        <v>26580</v>
      </c>
      <c r="E192" t="s">
        <v>20</v>
      </c>
      <c r="F192" t="s">
        <v>24</v>
      </c>
      <c r="G192" t="s">
        <v>24</v>
      </c>
      <c r="H192" t="s">
        <v>24</v>
      </c>
      <c r="I192" t="s">
        <v>27</v>
      </c>
      <c r="J192">
        <v>0.6</v>
      </c>
      <c r="K192" s="10" t="s">
        <v>33</v>
      </c>
      <c r="L192">
        <v>3.33</v>
      </c>
      <c r="M192">
        <v>14</v>
      </c>
      <c r="N192">
        <v>85.25</v>
      </c>
      <c r="O192" s="10" t="s">
        <v>33</v>
      </c>
      <c r="P192">
        <v>259</v>
      </c>
      <c r="Q192">
        <v>10.1</v>
      </c>
      <c r="R192">
        <v>4</v>
      </c>
    </row>
    <row r="193" spans="1:18" x14ac:dyDescent="0.3">
      <c r="A193">
        <v>904</v>
      </c>
      <c r="B193" t="s">
        <v>18</v>
      </c>
      <c r="C193" t="s">
        <v>19</v>
      </c>
      <c r="D193">
        <v>22388</v>
      </c>
      <c r="E193" t="s">
        <v>20</v>
      </c>
      <c r="F193" t="s">
        <v>24</v>
      </c>
      <c r="G193" t="s">
        <v>21</v>
      </c>
      <c r="H193" t="s">
        <v>24</v>
      </c>
      <c r="I193" t="s">
        <v>24</v>
      </c>
      <c r="J193">
        <v>3.9</v>
      </c>
      <c r="K193">
        <v>396</v>
      </c>
      <c r="L193">
        <v>3.2</v>
      </c>
      <c r="M193">
        <v>58</v>
      </c>
      <c r="N193">
        <v>153.44999999999999</v>
      </c>
      <c r="O193">
        <v>131</v>
      </c>
      <c r="P193">
        <v>156</v>
      </c>
      <c r="Q193">
        <v>10</v>
      </c>
      <c r="R193">
        <v>4</v>
      </c>
    </row>
    <row r="194" spans="1:18" x14ac:dyDescent="0.3">
      <c r="A194">
        <v>2216</v>
      </c>
      <c r="B194" t="s">
        <v>23</v>
      </c>
      <c r="C194" t="s">
        <v>31</v>
      </c>
      <c r="D194">
        <v>19221</v>
      </c>
      <c r="E194" t="s">
        <v>20</v>
      </c>
      <c r="F194" t="s">
        <v>24</v>
      </c>
      <c r="G194" t="s">
        <v>21</v>
      </c>
      <c r="H194" t="s">
        <v>21</v>
      </c>
      <c r="I194" t="s">
        <v>24</v>
      </c>
      <c r="J194">
        <v>0.7</v>
      </c>
      <c r="K194">
        <v>252</v>
      </c>
      <c r="L194">
        <v>4.01</v>
      </c>
      <c r="M194">
        <v>11</v>
      </c>
      <c r="N194">
        <v>72.849999999999994</v>
      </c>
      <c r="O194">
        <v>58</v>
      </c>
      <c r="P194">
        <v>309</v>
      </c>
      <c r="Q194">
        <v>9.5</v>
      </c>
      <c r="R194">
        <v>2</v>
      </c>
    </row>
    <row r="195" spans="1:18" x14ac:dyDescent="0.3">
      <c r="A195">
        <v>2224</v>
      </c>
      <c r="B195" t="s">
        <v>23</v>
      </c>
      <c r="C195" t="s">
        <v>31</v>
      </c>
      <c r="D195">
        <v>18176</v>
      </c>
      <c r="E195" t="s">
        <v>26</v>
      </c>
      <c r="F195" t="s">
        <v>24</v>
      </c>
      <c r="G195" t="s">
        <v>21</v>
      </c>
      <c r="H195" t="s">
        <v>24</v>
      </c>
      <c r="I195" t="s">
        <v>24</v>
      </c>
      <c r="J195">
        <v>0.9</v>
      </c>
      <c r="K195">
        <v>346</v>
      </c>
      <c r="L195">
        <v>3.37</v>
      </c>
      <c r="M195">
        <v>81</v>
      </c>
      <c r="N195">
        <v>122.45</v>
      </c>
      <c r="O195">
        <v>90</v>
      </c>
      <c r="P195">
        <v>298</v>
      </c>
      <c r="Q195">
        <v>10</v>
      </c>
      <c r="R195">
        <v>2</v>
      </c>
    </row>
    <row r="196" spans="1:18" x14ac:dyDescent="0.3">
      <c r="A196">
        <v>2195</v>
      </c>
      <c r="B196" t="s">
        <v>23</v>
      </c>
      <c r="C196" t="s">
        <v>31</v>
      </c>
      <c r="D196">
        <v>19327</v>
      </c>
      <c r="E196" t="s">
        <v>20</v>
      </c>
      <c r="F196" t="s">
        <v>24</v>
      </c>
      <c r="G196" t="s">
        <v>24</v>
      </c>
      <c r="H196" t="s">
        <v>24</v>
      </c>
      <c r="I196" t="s">
        <v>24</v>
      </c>
      <c r="J196">
        <v>1.3</v>
      </c>
      <c r="K196" s="10" t="s">
        <v>33</v>
      </c>
      <c r="L196">
        <v>3.76</v>
      </c>
      <c r="M196">
        <v>27</v>
      </c>
      <c r="N196">
        <v>100.75</v>
      </c>
      <c r="O196" s="10" t="s">
        <v>33</v>
      </c>
      <c r="P196">
        <v>114</v>
      </c>
      <c r="Q196">
        <v>10.3</v>
      </c>
      <c r="R196">
        <v>3</v>
      </c>
    </row>
    <row r="197" spans="1:18" x14ac:dyDescent="0.3">
      <c r="A197">
        <v>2176</v>
      </c>
      <c r="B197" t="s">
        <v>23</v>
      </c>
      <c r="C197" t="s">
        <v>31</v>
      </c>
      <c r="D197">
        <v>17263</v>
      </c>
      <c r="E197" t="s">
        <v>20</v>
      </c>
      <c r="F197" t="s">
        <v>24</v>
      </c>
      <c r="G197" t="s">
        <v>24</v>
      </c>
      <c r="H197" t="s">
        <v>24</v>
      </c>
      <c r="I197" t="s">
        <v>24</v>
      </c>
      <c r="J197">
        <v>1.2</v>
      </c>
      <c r="K197">
        <v>232</v>
      </c>
      <c r="L197">
        <v>3.98</v>
      </c>
      <c r="M197">
        <v>11</v>
      </c>
      <c r="N197">
        <v>100.75</v>
      </c>
      <c r="O197">
        <v>99</v>
      </c>
      <c r="P197">
        <v>223</v>
      </c>
      <c r="Q197">
        <v>9.9</v>
      </c>
      <c r="R197">
        <v>3</v>
      </c>
    </row>
    <row r="198" spans="1:18" x14ac:dyDescent="0.3">
      <c r="A198">
        <v>2178</v>
      </c>
      <c r="B198" t="s">
        <v>23</v>
      </c>
      <c r="C198" t="s">
        <v>19</v>
      </c>
      <c r="D198">
        <v>18337</v>
      </c>
      <c r="E198" t="s">
        <v>20</v>
      </c>
      <c r="F198" t="s">
        <v>24</v>
      </c>
      <c r="G198" t="s">
        <v>24</v>
      </c>
      <c r="H198" t="s">
        <v>21</v>
      </c>
      <c r="I198" t="s">
        <v>24</v>
      </c>
      <c r="J198">
        <v>0.5</v>
      </c>
      <c r="K198">
        <v>400</v>
      </c>
      <c r="L198">
        <v>3.4</v>
      </c>
      <c r="M198">
        <v>9</v>
      </c>
      <c r="N198">
        <v>96.1</v>
      </c>
      <c r="O198">
        <v>55</v>
      </c>
      <c r="P198">
        <v>356</v>
      </c>
      <c r="Q198">
        <v>10.199999999999999</v>
      </c>
      <c r="R198">
        <v>3</v>
      </c>
    </row>
    <row r="199" spans="1:18" x14ac:dyDescent="0.3">
      <c r="A199">
        <v>1786</v>
      </c>
      <c r="B199" t="s">
        <v>18</v>
      </c>
      <c r="C199" t="s">
        <v>31</v>
      </c>
      <c r="D199">
        <v>25329</v>
      </c>
      <c r="E199" t="s">
        <v>20</v>
      </c>
      <c r="F199" t="s">
        <v>24</v>
      </c>
      <c r="G199" t="s">
        <v>21</v>
      </c>
      <c r="H199" t="s">
        <v>24</v>
      </c>
      <c r="I199" t="s">
        <v>24</v>
      </c>
      <c r="J199">
        <v>0.9</v>
      </c>
      <c r="K199">
        <v>404</v>
      </c>
      <c r="L199">
        <v>3.43</v>
      </c>
      <c r="M199">
        <v>34</v>
      </c>
      <c r="N199">
        <v>79.05</v>
      </c>
      <c r="O199">
        <v>224</v>
      </c>
      <c r="P199">
        <v>236</v>
      </c>
      <c r="Q199">
        <v>9.9</v>
      </c>
      <c r="R199">
        <v>3</v>
      </c>
    </row>
    <row r="200" spans="1:18" x14ac:dyDescent="0.3">
      <c r="A200">
        <v>1080</v>
      </c>
      <c r="B200" t="s">
        <v>18</v>
      </c>
      <c r="C200" t="s">
        <v>31</v>
      </c>
      <c r="D200">
        <v>15037</v>
      </c>
      <c r="E200" t="s">
        <v>20</v>
      </c>
      <c r="F200" t="s">
        <v>24</v>
      </c>
      <c r="G200" t="s">
        <v>24</v>
      </c>
      <c r="H200" t="s">
        <v>24</v>
      </c>
      <c r="I200" t="s">
        <v>24</v>
      </c>
      <c r="J200">
        <v>5.9</v>
      </c>
      <c r="K200">
        <v>1276</v>
      </c>
      <c r="L200">
        <v>3.85</v>
      </c>
      <c r="M200">
        <v>141</v>
      </c>
      <c r="N200">
        <v>203.05</v>
      </c>
      <c r="O200">
        <v>157</v>
      </c>
      <c r="P200">
        <v>216</v>
      </c>
      <c r="Q200">
        <v>10.7</v>
      </c>
      <c r="R200">
        <v>3</v>
      </c>
    </row>
    <row r="201" spans="1:18" x14ac:dyDescent="0.3">
      <c r="A201">
        <v>2168</v>
      </c>
      <c r="B201" t="s">
        <v>23</v>
      </c>
      <c r="C201" t="s">
        <v>19</v>
      </c>
      <c r="D201">
        <v>21610</v>
      </c>
      <c r="E201" t="s">
        <v>20</v>
      </c>
      <c r="F201" t="s">
        <v>24</v>
      </c>
      <c r="G201" t="s">
        <v>24</v>
      </c>
      <c r="H201" t="s">
        <v>24</v>
      </c>
      <c r="I201" t="s">
        <v>24</v>
      </c>
      <c r="J201">
        <v>0.5</v>
      </c>
      <c r="K201" s="10" t="s">
        <v>33</v>
      </c>
      <c r="L201">
        <v>3.68</v>
      </c>
      <c r="M201">
        <v>20</v>
      </c>
      <c r="N201">
        <v>55.8</v>
      </c>
      <c r="O201" s="10" t="s">
        <v>33</v>
      </c>
      <c r="P201">
        <v>146</v>
      </c>
      <c r="Q201">
        <v>10.4</v>
      </c>
      <c r="R201">
        <v>3</v>
      </c>
    </row>
    <row r="202" spans="1:18" x14ac:dyDescent="0.3">
      <c r="A202">
        <v>790</v>
      </c>
      <c r="B202" t="s">
        <v>18</v>
      </c>
      <c r="C202" t="s">
        <v>31</v>
      </c>
      <c r="D202">
        <v>13178</v>
      </c>
      <c r="E202" t="s">
        <v>20</v>
      </c>
      <c r="F202" t="s">
        <v>24</v>
      </c>
      <c r="G202" t="s">
        <v>21</v>
      </c>
      <c r="H202" t="s">
        <v>24</v>
      </c>
      <c r="I202" t="s">
        <v>24</v>
      </c>
      <c r="J202">
        <v>11.4</v>
      </c>
      <c r="K202">
        <v>608</v>
      </c>
      <c r="L202">
        <v>3.31</v>
      </c>
      <c r="M202">
        <v>65</v>
      </c>
      <c r="N202">
        <v>151.9</v>
      </c>
      <c r="O202">
        <v>210</v>
      </c>
      <c r="P202">
        <v>298</v>
      </c>
      <c r="Q202">
        <v>10.8</v>
      </c>
      <c r="R202">
        <v>4</v>
      </c>
    </row>
    <row r="203" spans="1:18" x14ac:dyDescent="0.3">
      <c r="A203">
        <v>2170</v>
      </c>
      <c r="B203" t="s">
        <v>23</v>
      </c>
      <c r="C203" t="s">
        <v>19</v>
      </c>
      <c r="D203">
        <v>12636</v>
      </c>
      <c r="E203" t="s">
        <v>20</v>
      </c>
      <c r="F203" t="s">
        <v>24</v>
      </c>
      <c r="G203" t="s">
        <v>24</v>
      </c>
      <c r="H203" t="s">
        <v>24</v>
      </c>
      <c r="I203" t="s">
        <v>24</v>
      </c>
      <c r="J203">
        <v>0.5</v>
      </c>
      <c r="K203" s="10" t="s">
        <v>33</v>
      </c>
      <c r="L203">
        <v>3.89</v>
      </c>
      <c r="M203">
        <v>29</v>
      </c>
      <c r="N203">
        <v>66.650000000000006</v>
      </c>
      <c r="O203" s="10" t="s">
        <v>33</v>
      </c>
      <c r="P203">
        <v>423</v>
      </c>
      <c r="Q203">
        <v>10.1</v>
      </c>
      <c r="R203">
        <v>1</v>
      </c>
    </row>
    <row r="204" spans="1:18" x14ac:dyDescent="0.3">
      <c r="A204">
        <v>2157</v>
      </c>
      <c r="B204" t="s">
        <v>23</v>
      </c>
      <c r="C204" t="s">
        <v>31</v>
      </c>
      <c r="D204">
        <v>15601</v>
      </c>
      <c r="E204" t="s">
        <v>20</v>
      </c>
      <c r="F204" t="s">
        <v>24</v>
      </c>
      <c r="G204" t="s">
        <v>24</v>
      </c>
      <c r="H204" t="s">
        <v>24</v>
      </c>
      <c r="I204" t="s">
        <v>24</v>
      </c>
      <c r="J204">
        <v>1.6</v>
      </c>
      <c r="K204">
        <v>215</v>
      </c>
      <c r="L204">
        <v>4.17</v>
      </c>
      <c r="M204">
        <v>67</v>
      </c>
      <c r="N204">
        <v>134.85</v>
      </c>
      <c r="O204">
        <v>85</v>
      </c>
      <c r="P204">
        <v>176</v>
      </c>
      <c r="Q204">
        <v>9.6</v>
      </c>
      <c r="R204">
        <v>3</v>
      </c>
    </row>
    <row r="205" spans="1:18" x14ac:dyDescent="0.3">
      <c r="A205">
        <v>1235</v>
      </c>
      <c r="B205" t="s">
        <v>18</v>
      </c>
      <c r="C205" t="s">
        <v>19</v>
      </c>
      <c r="D205">
        <v>23241</v>
      </c>
      <c r="E205" t="s">
        <v>20</v>
      </c>
      <c r="F205" t="s">
        <v>24</v>
      </c>
      <c r="G205" t="s">
        <v>24</v>
      </c>
      <c r="H205" t="s">
        <v>21</v>
      </c>
      <c r="I205" t="s">
        <v>24</v>
      </c>
      <c r="J205">
        <v>3.8</v>
      </c>
      <c r="K205">
        <v>426</v>
      </c>
      <c r="L205">
        <v>3.22</v>
      </c>
      <c r="M205">
        <v>96</v>
      </c>
      <c r="N205">
        <v>210.8</v>
      </c>
      <c r="O205">
        <v>113</v>
      </c>
      <c r="P205">
        <v>228</v>
      </c>
      <c r="Q205">
        <v>10.6</v>
      </c>
      <c r="R205">
        <v>2</v>
      </c>
    </row>
    <row r="206" spans="1:18" x14ac:dyDescent="0.3">
      <c r="A206">
        <v>2050</v>
      </c>
      <c r="B206" t="s">
        <v>23</v>
      </c>
      <c r="C206" t="s">
        <v>31</v>
      </c>
      <c r="D206">
        <v>20684</v>
      </c>
      <c r="E206" t="s">
        <v>20</v>
      </c>
      <c r="F206" t="s">
        <v>24</v>
      </c>
      <c r="G206" t="s">
        <v>21</v>
      </c>
      <c r="H206" t="s">
        <v>24</v>
      </c>
      <c r="I206" t="s">
        <v>24</v>
      </c>
      <c r="J206">
        <v>0.9</v>
      </c>
      <c r="K206">
        <v>360</v>
      </c>
      <c r="L206">
        <v>3.65</v>
      </c>
      <c r="M206">
        <v>72</v>
      </c>
      <c r="N206">
        <v>94.55</v>
      </c>
      <c r="O206">
        <v>154</v>
      </c>
      <c r="P206">
        <v>269</v>
      </c>
      <c r="Q206">
        <v>9.6999999999999993</v>
      </c>
      <c r="R206">
        <v>4</v>
      </c>
    </row>
    <row r="207" spans="1:18" x14ac:dyDescent="0.3">
      <c r="A207">
        <v>597</v>
      </c>
      <c r="B207" t="s">
        <v>18</v>
      </c>
      <c r="C207" t="s">
        <v>31</v>
      </c>
      <c r="D207">
        <v>16898</v>
      </c>
      <c r="E207" t="s">
        <v>20</v>
      </c>
      <c r="F207" t="s">
        <v>24</v>
      </c>
      <c r="G207" t="s">
        <v>21</v>
      </c>
      <c r="H207" t="s">
        <v>24</v>
      </c>
      <c r="I207" t="s">
        <v>24</v>
      </c>
      <c r="J207">
        <v>4.5</v>
      </c>
      <c r="K207">
        <v>372</v>
      </c>
      <c r="L207">
        <v>3.38</v>
      </c>
      <c r="M207">
        <v>227</v>
      </c>
      <c r="N207">
        <v>167.4</v>
      </c>
      <c r="O207">
        <v>135</v>
      </c>
      <c r="P207">
        <v>240</v>
      </c>
      <c r="Q207">
        <v>12.4</v>
      </c>
      <c r="R207">
        <v>3</v>
      </c>
    </row>
    <row r="208" spans="1:18" x14ac:dyDescent="0.3">
      <c r="A208">
        <v>334</v>
      </c>
      <c r="B208" t="s">
        <v>18</v>
      </c>
      <c r="C208" t="s">
        <v>19</v>
      </c>
      <c r="D208">
        <v>22369</v>
      </c>
      <c r="E208" t="s">
        <v>20</v>
      </c>
      <c r="F208" t="s">
        <v>21</v>
      </c>
      <c r="G208" t="s">
        <v>21</v>
      </c>
      <c r="H208" t="s">
        <v>24</v>
      </c>
      <c r="I208" t="s">
        <v>21</v>
      </c>
      <c r="J208">
        <v>14.1</v>
      </c>
      <c r="K208">
        <v>448</v>
      </c>
      <c r="L208">
        <v>2.4300000000000002</v>
      </c>
      <c r="M208">
        <v>123</v>
      </c>
      <c r="N208">
        <v>134</v>
      </c>
      <c r="O208">
        <v>155</v>
      </c>
      <c r="P208">
        <v>210</v>
      </c>
      <c r="Q208">
        <v>11</v>
      </c>
      <c r="R208">
        <v>4</v>
      </c>
    </row>
    <row r="209" spans="1:18" x14ac:dyDescent="0.3">
      <c r="A209">
        <v>1702</v>
      </c>
      <c r="B209" t="s">
        <v>23</v>
      </c>
      <c r="C209" t="s">
        <v>19</v>
      </c>
      <c r="D209">
        <v>18806</v>
      </c>
      <c r="E209" t="s">
        <v>20</v>
      </c>
      <c r="F209" t="s">
        <v>24</v>
      </c>
      <c r="G209" t="s">
        <v>24</v>
      </c>
      <c r="H209" t="s">
        <v>24</v>
      </c>
      <c r="I209" t="s">
        <v>24</v>
      </c>
      <c r="J209">
        <v>1.1000000000000001</v>
      </c>
      <c r="K209">
        <v>414</v>
      </c>
      <c r="L209">
        <v>3.44</v>
      </c>
      <c r="M209">
        <v>80</v>
      </c>
      <c r="N209">
        <v>99</v>
      </c>
      <c r="O209">
        <v>55</v>
      </c>
      <c r="P209">
        <v>271</v>
      </c>
      <c r="Q209">
        <v>9.6</v>
      </c>
      <c r="R209">
        <v>1</v>
      </c>
    </row>
    <row r="210" spans="1:18" x14ac:dyDescent="0.3">
      <c r="A210">
        <v>1525</v>
      </c>
      <c r="B210" t="s">
        <v>23</v>
      </c>
      <c r="C210" t="s">
        <v>19</v>
      </c>
      <c r="D210">
        <v>14025</v>
      </c>
      <c r="E210" t="s">
        <v>20</v>
      </c>
      <c r="F210" t="s">
        <v>24</v>
      </c>
      <c r="G210" t="s">
        <v>24</v>
      </c>
      <c r="H210" t="s">
        <v>24</v>
      </c>
      <c r="I210" t="s">
        <v>24</v>
      </c>
      <c r="J210">
        <v>0.5</v>
      </c>
      <c r="K210">
        <v>226</v>
      </c>
      <c r="L210">
        <v>2.93</v>
      </c>
      <c r="M210">
        <v>22</v>
      </c>
      <c r="N210">
        <v>58</v>
      </c>
      <c r="O210">
        <v>85</v>
      </c>
      <c r="P210">
        <v>153</v>
      </c>
      <c r="Q210">
        <v>9.8000000000000007</v>
      </c>
      <c r="R210">
        <v>1</v>
      </c>
    </row>
    <row r="211" spans="1:18" x14ac:dyDescent="0.3">
      <c r="A211">
        <v>1401</v>
      </c>
      <c r="B211" t="s">
        <v>23</v>
      </c>
      <c r="C211" t="s">
        <v>19</v>
      </c>
      <c r="D211">
        <v>16929</v>
      </c>
      <c r="E211" t="s">
        <v>20</v>
      </c>
      <c r="F211" t="s">
        <v>24</v>
      </c>
      <c r="G211" t="s">
        <v>24</v>
      </c>
      <c r="H211" t="s">
        <v>24</v>
      </c>
      <c r="I211" t="s">
        <v>24</v>
      </c>
      <c r="J211">
        <v>0.8</v>
      </c>
      <c r="K211">
        <v>253</v>
      </c>
      <c r="L211">
        <v>3.48</v>
      </c>
      <c r="M211">
        <v>65</v>
      </c>
      <c r="N211">
        <v>57</v>
      </c>
      <c r="O211">
        <v>80</v>
      </c>
      <c r="P211">
        <v>252</v>
      </c>
      <c r="Q211">
        <v>10</v>
      </c>
      <c r="R211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AE233"/>
  <sheetViews>
    <sheetView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V19" sqref="V19"/>
    </sheetView>
  </sheetViews>
  <sheetFormatPr defaultRowHeight="14.4" x14ac:dyDescent="0.3"/>
  <cols>
    <col min="4" max="4" width="10.44140625" customWidth="1"/>
    <col min="5" max="5" width="10.33203125" customWidth="1"/>
    <col min="6" max="6" width="15.109375" customWidth="1"/>
    <col min="7" max="7" width="13.109375" customWidth="1"/>
    <col min="9" max="9" width="11.109375" customWidth="1"/>
    <col min="10" max="10" width="15.33203125" customWidth="1"/>
    <col min="11" max="11" width="13.88671875" customWidth="1"/>
    <col min="12" max="12" width="14" customWidth="1"/>
    <col min="13" max="13" width="13.88671875" customWidth="1"/>
    <col min="14" max="14" width="13.21875" customWidth="1"/>
    <col min="15" max="15" width="12.5546875" customWidth="1"/>
    <col min="16" max="16" width="11.88671875" customWidth="1"/>
    <col min="17" max="17" width="11.77734375" customWidth="1"/>
    <col min="18" max="18" width="12.21875" customWidth="1"/>
    <col min="19" max="19" width="12.109375" customWidth="1"/>
    <col min="20" max="20" width="11.88671875" customWidth="1"/>
    <col min="21" max="21" width="11.77734375" customWidth="1"/>
  </cols>
  <sheetData>
    <row r="1" spans="4:31" x14ac:dyDescent="0.3"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</row>
    <row r="2" spans="4:31" x14ac:dyDescent="0.3">
      <c r="D2" t="s">
        <v>0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178</v>
      </c>
    </row>
    <row r="3" spans="4:31" x14ac:dyDescent="0.3">
      <c r="D3">
        <v>400</v>
      </c>
      <c r="E3" t="s">
        <v>18</v>
      </c>
      <c r="F3" t="s">
        <v>19</v>
      </c>
      <c r="G3">
        <v>21464</v>
      </c>
      <c r="H3" t="s">
        <v>20</v>
      </c>
      <c r="I3" t="s">
        <v>21</v>
      </c>
      <c r="J3" t="s">
        <v>21</v>
      </c>
      <c r="K3" t="s">
        <v>21</v>
      </c>
      <c r="L3" t="s">
        <v>21</v>
      </c>
      <c r="M3">
        <v>14.5</v>
      </c>
      <c r="N3">
        <v>261</v>
      </c>
      <c r="O3">
        <v>2.6</v>
      </c>
      <c r="P3">
        <v>156</v>
      </c>
      <c r="Q3">
        <v>137.94999999999999</v>
      </c>
      <c r="R3">
        <v>172</v>
      </c>
      <c r="S3">
        <v>190</v>
      </c>
      <c r="T3">
        <v>12.2</v>
      </c>
      <c r="U3">
        <v>4</v>
      </c>
      <c r="W3" s="1" t="s">
        <v>22</v>
      </c>
    </row>
    <row r="4" spans="4:31" x14ac:dyDescent="0.3">
      <c r="D4">
        <v>4500</v>
      </c>
      <c r="E4" t="s">
        <v>23</v>
      </c>
      <c r="F4" t="s">
        <v>19</v>
      </c>
      <c r="G4">
        <v>20617</v>
      </c>
      <c r="H4" t="s">
        <v>20</v>
      </c>
      <c r="I4" t="s">
        <v>24</v>
      </c>
      <c r="J4" t="s">
        <v>21</v>
      </c>
      <c r="K4" t="s">
        <v>21</v>
      </c>
      <c r="L4" t="s">
        <v>24</v>
      </c>
      <c r="M4">
        <v>1.1000000000000001</v>
      </c>
      <c r="N4">
        <v>302</v>
      </c>
      <c r="O4">
        <v>4.1399999999999997</v>
      </c>
      <c r="P4">
        <v>54</v>
      </c>
      <c r="Q4">
        <v>113.52</v>
      </c>
      <c r="R4">
        <v>88</v>
      </c>
      <c r="S4">
        <v>221</v>
      </c>
      <c r="T4">
        <v>10.6</v>
      </c>
      <c r="U4">
        <v>3</v>
      </c>
      <c r="W4" s="1" t="s">
        <v>25</v>
      </c>
    </row>
    <row r="5" spans="4:31" x14ac:dyDescent="0.3">
      <c r="D5">
        <v>1012</v>
      </c>
      <c r="E5" t="s">
        <v>18</v>
      </c>
      <c r="F5" t="s">
        <v>19</v>
      </c>
      <c r="G5">
        <v>25594</v>
      </c>
      <c r="H5" t="s">
        <v>26</v>
      </c>
      <c r="I5" t="s">
        <v>24</v>
      </c>
      <c r="J5" t="s">
        <v>24</v>
      </c>
      <c r="K5" t="s">
        <v>24</v>
      </c>
      <c r="L5" t="s">
        <v>27</v>
      </c>
      <c r="M5">
        <v>1.4</v>
      </c>
      <c r="N5">
        <v>176</v>
      </c>
      <c r="O5">
        <v>3.48</v>
      </c>
      <c r="P5">
        <v>210</v>
      </c>
      <c r="Q5">
        <v>96.1</v>
      </c>
      <c r="R5">
        <v>55</v>
      </c>
      <c r="S5">
        <v>151</v>
      </c>
      <c r="T5">
        <v>12</v>
      </c>
      <c r="U5">
        <v>4</v>
      </c>
      <c r="W5" s="17" t="s">
        <v>28</v>
      </c>
      <c r="X5" s="10"/>
      <c r="Y5" s="10"/>
      <c r="Z5" s="10"/>
      <c r="AA5" s="10"/>
      <c r="AB5" s="10" t="s">
        <v>159</v>
      </c>
      <c r="AC5" s="10"/>
      <c r="AD5" s="10"/>
      <c r="AE5" s="10"/>
    </row>
    <row r="6" spans="4:31" x14ac:dyDescent="0.3">
      <c r="D6">
        <v>1925</v>
      </c>
      <c r="E6" t="s">
        <v>18</v>
      </c>
      <c r="F6" t="s">
        <v>19</v>
      </c>
      <c r="G6">
        <v>19994</v>
      </c>
      <c r="H6" t="s">
        <v>20</v>
      </c>
      <c r="I6" t="s">
        <v>24</v>
      </c>
      <c r="J6" t="s">
        <v>21</v>
      </c>
      <c r="K6" t="s">
        <v>21</v>
      </c>
      <c r="L6" t="s">
        <v>27</v>
      </c>
      <c r="M6">
        <v>1.8</v>
      </c>
      <c r="N6">
        <v>244</v>
      </c>
      <c r="O6">
        <v>2.54</v>
      </c>
      <c r="P6">
        <v>64</v>
      </c>
      <c r="Q6">
        <v>60.63</v>
      </c>
      <c r="R6">
        <v>92</v>
      </c>
      <c r="S6">
        <v>183</v>
      </c>
      <c r="T6">
        <v>10.3</v>
      </c>
      <c r="U6">
        <v>4</v>
      </c>
      <c r="W6" s="1" t="s">
        <v>29</v>
      </c>
    </row>
    <row r="7" spans="4:31" x14ac:dyDescent="0.3">
      <c r="D7">
        <v>1504</v>
      </c>
      <c r="E7" t="s">
        <v>30</v>
      </c>
      <c r="F7" t="s">
        <v>31</v>
      </c>
      <c r="G7">
        <v>13918</v>
      </c>
      <c r="H7" t="s">
        <v>20</v>
      </c>
      <c r="I7" t="s">
        <v>24</v>
      </c>
      <c r="J7" t="s">
        <v>21</v>
      </c>
      <c r="K7" t="s">
        <v>21</v>
      </c>
      <c r="L7" t="s">
        <v>24</v>
      </c>
      <c r="M7">
        <v>3.4</v>
      </c>
      <c r="N7">
        <v>279</v>
      </c>
      <c r="O7">
        <v>3.53</v>
      </c>
      <c r="P7">
        <v>143</v>
      </c>
      <c r="Q7">
        <v>113.15</v>
      </c>
      <c r="R7">
        <v>72</v>
      </c>
      <c r="S7">
        <v>136</v>
      </c>
      <c r="T7">
        <v>10.9</v>
      </c>
      <c r="U7">
        <v>3</v>
      </c>
      <c r="W7" s="17" t="s">
        <v>32</v>
      </c>
      <c r="X7" s="10"/>
      <c r="Y7" s="10"/>
      <c r="Z7" s="10" t="s">
        <v>160</v>
      </c>
      <c r="AA7" s="10"/>
      <c r="AB7" s="10"/>
      <c r="AC7" s="10"/>
    </row>
    <row r="8" spans="4:31" x14ac:dyDescent="0.3">
      <c r="D8">
        <v>2503</v>
      </c>
      <c r="E8" t="s">
        <v>18</v>
      </c>
      <c r="F8" t="s">
        <v>31</v>
      </c>
      <c r="G8">
        <v>24201</v>
      </c>
      <c r="H8" t="s">
        <v>20</v>
      </c>
      <c r="I8" t="s">
        <v>24</v>
      </c>
      <c r="J8" t="s">
        <v>21</v>
      </c>
      <c r="K8" t="s">
        <v>24</v>
      </c>
      <c r="L8" t="s">
        <v>24</v>
      </c>
      <c r="M8">
        <v>0.8</v>
      </c>
      <c r="N8">
        <v>248</v>
      </c>
      <c r="O8">
        <v>3.98</v>
      </c>
      <c r="P8">
        <v>50</v>
      </c>
      <c r="Q8">
        <v>93</v>
      </c>
      <c r="R8">
        <v>63</v>
      </c>
      <c r="S8" s="10">
        <v>262</v>
      </c>
      <c r="T8">
        <v>11</v>
      </c>
      <c r="U8">
        <v>3</v>
      </c>
      <c r="W8" s="1" t="s">
        <v>34</v>
      </c>
    </row>
    <row r="9" spans="4:31" x14ac:dyDescent="0.3">
      <c r="D9">
        <v>1832</v>
      </c>
      <c r="E9" t="s">
        <v>23</v>
      </c>
      <c r="F9" t="s">
        <v>31</v>
      </c>
      <c r="G9">
        <v>20284</v>
      </c>
      <c r="H9" t="s">
        <v>20</v>
      </c>
      <c r="I9" t="s">
        <v>24</v>
      </c>
      <c r="J9" t="s">
        <v>21</v>
      </c>
      <c r="K9" t="s">
        <v>24</v>
      </c>
      <c r="L9" t="s">
        <v>24</v>
      </c>
      <c r="M9">
        <v>1</v>
      </c>
      <c r="N9">
        <v>322</v>
      </c>
      <c r="O9">
        <v>4.09</v>
      </c>
      <c r="P9">
        <v>52</v>
      </c>
      <c r="Q9">
        <v>60.45</v>
      </c>
      <c r="R9">
        <v>213</v>
      </c>
      <c r="S9">
        <v>204</v>
      </c>
      <c r="T9">
        <v>9.6999999999999993</v>
      </c>
      <c r="U9">
        <v>3</v>
      </c>
      <c r="W9" s="1" t="s">
        <v>35</v>
      </c>
    </row>
    <row r="10" spans="4:31" x14ac:dyDescent="0.3">
      <c r="D10">
        <v>2466</v>
      </c>
      <c r="E10" t="s">
        <v>18</v>
      </c>
      <c r="F10" t="s">
        <v>31</v>
      </c>
      <c r="G10">
        <v>19379</v>
      </c>
      <c r="H10" t="s">
        <v>20</v>
      </c>
      <c r="I10" t="s">
        <v>24</v>
      </c>
      <c r="J10" t="s">
        <v>24</v>
      </c>
      <c r="K10" t="s">
        <v>24</v>
      </c>
      <c r="L10" t="s">
        <v>24</v>
      </c>
      <c r="M10">
        <v>0.3</v>
      </c>
      <c r="N10">
        <v>280</v>
      </c>
      <c r="O10">
        <v>4</v>
      </c>
      <c r="P10">
        <v>52</v>
      </c>
      <c r="Q10">
        <v>28.38</v>
      </c>
      <c r="R10">
        <v>189</v>
      </c>
      <c r="S10">
        <v>373</v>
      </c>
      <c r="T10">
        <v>11</v>
      </c>
      <c r="U10">
        <v>3</v>
      </c>
      <c r="W10" s="1" t="s">
        <v>36</v>
      </c>
    </row>
    <row r="11" spans="4:31" x14ac:dyDescent="0.3">
      <c r="D11">
        <v>2400</v>
      </c>
      <c r="E11" t="s">
        <v>18</v>
      </c>
      <c r="F11" t="s">
        <v>19</v>
      </c>
      <c r="G11">
        <v>15526</v>
      </c>
      <c r="H11" t="s">
        <v>20</v>
      </c>
      <c r="I11" t="s">
        <v>24</v>
      </c>
      <c r="J11" t="s">
        <v>24</v>
      </c>
      <c r="K11" t="s">
        <v>21</v>
      </c>
      <c r="L11" t="s">
        <v>24</v>
      </c>
      <c r="M11">
        <v>3.2</v>
      </c>
      <c r="N11">
        <v>562</v>
      </c>
      <c r="O11">
        <v>3.08</v>
      </c>
      <c r="P11">
        <v>79</v>
      </c>
      <c r="Q11">
        <v>144.15</v>
      </c>
      <c r="R11">
        <v>88</v>
      </c>
      <c r="S11">
        <v>251</v>
      </c>
      <c r="T11">
        <v>11</v>
      </c>
      <c r="U11">
        <v>2</v>
      </c>
      <c r="W11" s="1" t="s">
        <v>37</v>
      </c>
    </row>
    <row r="12" spans="4:31" x14ac:dyDescent="0.3">
      <c r="D12">
        <v>51</v>
      </c>
      <c r="E12" t="s">
        <v>18</v>
      </c>
      <c r="F12" t="s">
        <v>31</v>
      </c>
      <c r="G12">
        <v>25772</v>
      </c>
      <c r="H12" t="s">
        <v>20</v>
      </c>
      <c r="I12" t="s">
        <v>21</v>
      </c>
      <c r="J12" t="s">
        <v>24</v>
      </c>
      <c r="K12" t="s">
        <v>21</v>
      </c>
      <c r="L12" t="s">
        <v>21</v>
      </c>
      <c r="M12">
        <v>12.6</v>
      </c>
      <c r="N12">
        <v>200</v>
      </c>
      <c r="O12">
        <v>2.74</v>
      </c>
      <c r="P12">
        <v>140</v>
      </c>
      <c r="Q12">
        <v>147.25</v>
      </c>
      <c r="R12">
        <v>143</v>
      </c>
      <c r="S12">
        <v>302</v>
      </c>
      <c r="T12">
        <v>11.5</v>
      </c>
      <c r="U12">
        <v>4</v>
      </c>
      <c r="W12" s="1" t="s">
        <v>38</v>
      </c>
    </row>
    <row r="13" spans="4:31" x14ac:dyDescent="0.3">
      <c r="D13">
        <v>3762</v>
      </c>
      <c r="E13" t="s">
        <v>18</v>
      </c>
      <c r="F13" t="s">
        <v>31</v>
      </c>
      <c r="G13">
        <v>19619</v>
      </c>
      <c r="H13" t="s">
        <v>20</v>
      </c>
      <c r="I13" t="s">
        <v>24</v>
      </c>
      <c r="J13" t="s">
        <v>21</v>
      </c>
      <c r="K13" t="s">
        <v>21</v>
      </c>
      <c r="L13" t="s">
        <v>24</v>
      </c>
      <c r="M13">
        <v>1.4</v>
      </c>
      <c r="N13">
        <v>259</v>
      </c>
      <c r="O13">
        <v>4.16</v>
      </c>
      <c r="P13">
        <v>46</v>
      </c>
      <c r="Q13">
        <v>79.05</v>
      </c>
      <c r="R13">
        <v>79</v>
      </c>
      <c r="S13">
        <v>258</v>
      </c>
      <c r="T13">
        <v>12</v>
      </c>
      <c r="U13">
        <v>4</v>
      </c>
      <c r="W13" s="1" t="s">
        <v>39</v>
      </c>
    </row>
    <row r="14" spans="4:31" x14ac:dyDescent="0.3">
      <c r="D14">
        <v>304</v>
      </c>
      <c r="E14" t="s">
        <v>18</v>
      </c>
      <c r="F14" t="s">
        <v>31</v>
      </c>
      <c r="G14">
        <v>21600</v>
      </c>
      <c r="H14" t="s">
        <v>20</v>
      </c>
      <c r="I14" t="s">
        <v>24</v>
      </c>
      <c r="J14" t="s">
        <v>24</v>
      </c>
      <c r="K14" t="s">
        <v>21</v>
      </c>
      <c r="L14" t="s">
        <v>24</v>
      </c>
      <c r="M14">
        <v>3.6</v>
      </c>
      <c r="N14">
        <v>236</v>
      </c>
      <c r="O14">
        <v>3.52</v>
      </c>
      <c r="P14">
        <v>94</v>
      </c>
      <c r="Q14">
        <v>82.15</v>
      </c>
      <c r="R14">
        <v>95</v>
      </c>
      <c r="S14">
        <v>71</v>
      </c>
      <c r="T14">
        <v>13.6</v>
      </c>
      <c r="U14">
        <v>4</v>
      </c>
      <c r="W14" s="1" t="s">
        <v>40</v>
      </c>
    </row>
    <row r="15" spans="4:31" x14ac:dyDescent="0.3">
      <c r="D15">
        <v>3577</v>
      </c>
      <c r="E15" t="s">
        <v>23</v>
      </c>
      <c r="F15" t="s">
        <v>31</v>
      </c>
      <c r="G15">
        <v>16688</v>
      </c>
      <c r="H15" t="s">
        <v>20</v>
      </c>
      <c r="I15" t="s">
        <v>24</v>
      </c>
      <c r="J15" t="s">
        <v>24</v>
      </c>
      <c r="K15" t="s">
        <v>24</v>
      </c>
      <c r="L15" t="s">
        <v>24</v>
      </c>
      <c r="M15">
        <v>0.7</v>
      </c>
      <c r="N15">
        <v>281</v>
      </c>
      <c r="O15">
        <v>3.85</v>
      </c>
      <c r="P15">
        <v>40</v>
      </c>
      <c r="Q15">
        <v>88.35</v>
      </c>
      <c r="R15">
        <v>130</v>
      </c>
      <c r="S15">
        <v>244</v>
      </c>
      <c r="T15">
        <v>10.6</v>
      </c>
      <c r="U15">
        <v>3</v>
      </c>
      <c r="W15" s="1" t="s">
        <v>41</v>
      </c>
    </row>
    <row r="16" spans="4:31" x14ac:dyDescent="0.3">
      <c r="D16">
        <v>1217</v>
      </c>
      <c r="E16" t="s">
        <v>18</v>
      </c>
      <c r="F16" t="s">
        <v>31</v>
      </c>
      <c r="G16">
        <v>20535</v>
      </c>
      <c r="H16" t="s">
        <v>26</v>
      </c>
      <c r="I16" t="s">
        <v>21</v>
      </c>
      <c r="J16" t="s">
        <v>21</v>
      </c>
      <c r="K16" t="s">
        <v>24</v>
      </c>
      <c r="L16" t="s">
        <v>21</v>
      </c>
      <c r="M16">
        <v>0.8</v>
      </c>
      <c r="N16" s="10">
        <v>371</v>
      </c>
      <c r="O16">
        <v>2.27</v>
      </c>
      <c r="P16">
        <v>43</v>
      </c>
      <c r="Q16">
        <v>71</v>
      </c>
      <c r="R16" s="10">
        <v>123</v>
      </c>
      <c r="S16">
        <v>156</v>
      </c>
      <c r="T16">
        <v>11</v>
      </c>
      <c r="U16">
        <v>4</v>
      </c>
      <c r="W16" s="1" t="s">
        <v>42</v>
      </c>
    </row>
    <row r="17" spans="4:24" x14ac:dyDescent="0.3">
      <c r="D17">
        <v>3584</v>
      </c>
      <c r="E17" t="s">
        <v>18</v>
      </c>
      <c r="F17" t="s">
        <v>19</v>
      </c>
      <c r="G17">
        <v>23612</v>
      </c>
      <c r="H17" t="s">
        <v>20</v>
      </c>
      <c r="I17" t="s">
        <v>24</v>
      </c>
      <c r="J17" t="s">
        <v>24</v>
      </c>
      <c r="K17" t="s">
        <v>24</v>
      </c>
      <c r="L17" t="s">
        <v>24</v>
      </c>
      <c r="M17">
        <v>0.8</v>
      </c>
      <c r="N17">
        <v>231</v>
      </c>
      <c r="O17">
        <v>3.87</v>
      </c>
      <c r="P17">
        <v>173</v>
      </c>
      <c r="Q17">
        <v>127.71</v>
      </c>
      <c r="R17">
        <v>96</v>
      </c>
      <c r="S17">
        <v>295</v>
      </c>
      <c r="T17">
        <v>11</v>
      </c>
      <c r="U17">
        <v>3</v>
      </c>
      <c r="W17" s="1" t="s">
        <v>43</v>
      </c>
    </row>
    <row r="18" spans="4:24" x14ac:dyDescent="0.3">
      <c r="D18">
        <v>3672</v>
      </c>
      <c r="E18" t="s">
        <v>23</v>
      </c>
      <c r="F18" t="s">
        <v>31</v>
      </c>
      <c r="G18">
        <v>14772</v>
      </c>
      <c r="H18" t="s">
        <v>20</v>
      </c>
      <c r="I18" t="s">
        <v>24</v>
      </c>
      <c r="J18" t="s">
        <v>24</v>
      </c>
      <c r="K18" t="s">
        <v>24</v>
      </c>
      <c r="L18" t="s">
        <v>24</v>
      </c>
      <c r="M18">
        <v>0.7</v>
      </c>
      <c r="N18">
        <v>204</v>
      </c>
      <c r="O18">
        <v>3.66</v>
      </c>
      <c r="P18">
        <v>28</v>
      </c>
      <c r="Q18">
        <v>72.849999999999994</v>
      </c>
      <c r="R18">
        <v>58</v>
      </c>
      <c r="S18">
        <v>198</v>
      </c>
      <c r="T18">
        <v>10.8</v>
      </c>
      <c r="U18">
        <v>3</v>
      </c>
      <c r="W18" s="1" t="s">
        <v>44</v>
      </c>
    </row>
    <row r="19" spans="4:24" x14ac:dyDescent="0.3">
      <c r="D19">
        <v>769</v>
      </c>
      <c r="E19" t="s">
        <v>18</v>
      </c>
      <c r="F19" t="s">
        <v>31</v>
      </c>
      <c r="G19">
        <v>19060</v>
      </c>
      <c r="H19" t="s">
        <v>20</v>
      </c>
      <c r="I19" t="s">
        <v>24</v>
      </c>
      <c r="J19" t="s">
        <v>21</v>
      </c>
      <c r="K19" t="s">
        <v>24</v>
      </c>
      <c r="L19" t="s">
        <v>24</v>
      </c>
      <c r="M19">
        <v>2.7</v>
      </c>
      <c r="N19">
        <v>274</v>
      </c>
      <c r="O19">
        <v>3.15</v>
      </c>
      <c r="P19">
        <v>159</v>
      </c>
      <c r="Q19">
        <v>117.8</v>
      </c>
      <c r="R19">
        <v>128</v>
      </c>
      <c r="S19">
        <v>224</v>
      </c>
      <c r="T19">
        <v>10.5</v>
      </c>
      <c r="U19">
        <v>4</v>
      </c>
      <c r="W19" s="1" t="s">
        <v>45</v>
      </c>
    </row>
    <row r="20" spans="4:24" x14ac:dyDescent="0.3">
      <c r="D20">
        <v>131</v>
      </c>
      <c r="E20" t="s">
        <v>18</v>
      </c>
      <c r="F20" t="s">
        <v>19</v>
      </c>
      <c r="G20">
        <v>19698</v>
      </c>
      <c r="H20" t="s">
        <v>20</v>
      </c>
      <c r="I20" t="s">
        <v>24</v>
      </c>
      <c r="J20" t="s">
        <v>21</v>
      </c>
      <c r="K20" t="s">
        <v>21</v>
      </c>
      <c r="L20" t="s">
        <v>21</v>
      </c>
      <c r="M20">
        <v>11.4</v>
      </c>
      <c r="N20">
        <v>178</v>
      </c>
      <c r="O20">
        <v>2.8</v>
      </c>
      <c r="P20" s="19">
        <v>290</v>
      </c>
      <c r="Q20" s="19">
        <v>246.45</v>
      </c>
      <c r="R20">
        <v>200</v>
      </c>
      <c r="S20">
        <v>283</v>
      </c>
      <c r="T20">
        <v>12.4</v>
      </c>
      <c r="U20">
        <v>4</v>
      </c>
      <c r="W20" s="2" t="s">
        <v>46</v>
      </c>
    </row>
    <row r="21" spans="4:24" x14ac:dyDescent="0.3">
      <c r="D21">
        <v>4232</v>
      </c>
      <c r="E21" t="s">
        <v>23</v>
      </c>
      <c r="F21" t="s">
        <v>19</v>
      </c>
      <c r="G21">
        <v>18102</v>
      </c>
      <c r="H21" t="s">
        <v>20</v>
      </c>
      <c r="I21" t="s">
        <v>24</v>
      </c>
      <c r="J21" t="s">
        <v>21</v>
      </c>
      <c r="K21" t="s">
        <v>24</v>
      </c>
      <c r="L21" t="s">
        <v>27</v>
      </c>
      <c r="M21">
        <v>0.7</v>
      </c>
      <c r="N21">
        <v>235</v>
      </c>
      <c r="O21">
        <v>3.56</v>
      </c>
      <c r="P21">
        <v>39</v>
      </c>
      <c r="Q21">
        <v>93</v>
      </c>
      <c r="R21">
        <v>123</v>
      </c>
      <c r="S21">
        <v>209</v>
      </c>
      <c r="T21">
        <v>11</v>
      </c>
      <c r="U21">
        <v>3</v>
      </c>
    </row>
    <row r="22" spans="4:24" x14ac:dyDescent="0.3">
      <c r="D22">
        <v>1356</v>
      </c>
      <c r="E22" t="s">
        <v>18</v>
      </c>
      <c r="F22" t="s">
        <v>31</v>
      </c>
      <c r="G22">
        <v>21898</v>
      </c>
      <c r="H22" t="s">
        <v>20</v>
      </c>
      <c r="I22" t="s">
        <v>24</v>
      </c>
      <c r="J22" t="s">
        <v>21</v>
      </c>
      <c r="K22" t="s">
        <v>24</v>
      </c>
      <c r="L22" t="s">
        <v>24</v>
      </c>
      <c r="M22">
        <v>5.0999999999999996</v>
      </c>
      <c r="N22">
        <v>374</v>
      </c>
      <c r="O22">
        <v>3.51</v>
      </c>
      <c r="P22">
        <v>140</v>
      </c>
      <c r="Q22">
        <v>122.45</v>
      </c>
      <c r="R22">
        <v>135</v>
      </c>
      <c r="S22">
        <v>322</v>
      </c>
      <c r="T22">
        <v>13</v>
      </c>
      <c r="U22">
        <v>4</v>
      </c>
      <c r="W22" s="10"/>
      <c r="X22" t="s">
        <v>170</v>
      </c>
    </row>
    <row r="23" spans="4:24" x14ac:dyDescent="0.3">
      <c r="D23">
        <v>3445</v>
      </c>
      <c r="E23" t="s">
        <v>23</v>
      </c>
      <c r="F23" t="s">
        <v>31</v>
      </c>
      <c r="G23">
        <v>23445</v>
      </c>
      <c r="H23" t="s">
        <v>26</v>
      </c>
      <c r="I23" t="s">
        <v>24</v>
      </c>
      <c r="J23" t="s">
        <v>21</v>
      </c>
      <c r="K23" t="s">
        <v>21</v>
      </c>
      <c r="L23" t="s">
        <v>24</v>
      </c>
      <c r="M23">
        <v>0.6</v>
      </c>
      <c r="N23">
        <v>252</v>
      </c>
      <c r="O23">
        <v>3.83</v>
      </c>
      <c r="P23">
        <v>41</v>
      </c>
      <c r="Q23">
        <v>65.099999999999994</v>
      </c>
      <c r="R23">
        <v>83</v>
      </c>
      <c r="S23">
        <v>336</v>
      </c>
      <c r="T23">
        <v>11.4</v>
      </c>
      <c r="U23">
        <v>4</v>
      </c>
      <c r="W23" s="19"/>
      <c r="X23" t="s">
        <v>169</v>
      </c>
    </row>
    <row r="24" spans="4:24" x14ac:dyDescent="0.3">
      <c r="D24">
        <v>673</v>
      </c>
      <c r="E24" t="s">
        <v>18</v>
      </c>
      <c r="F24" t="s">
        <v>19</v>
      </c>
      <c r="G24">
        <v>20555</v>
      </c>
      <c r="H24" t="s">
        <v>20</v>
      </c>
      <c r="I24" t="s">
        <v>24</v>
      </c>
      <c r="J24" t="s">
        <v>24</v>
      </c>
      <c r="K24" t="s">
        <v>21</v>
      </c>
      <c r="L24" t="s">
        <v>24</v>
      </c>
      <c r="M24">
        <v>3.4</v>
      </c>
      <c r="N24">
        <v>271</v>
      </c>
      <c r="O24">
        <v>3.63</v>
      </c>
      <c r="P24" s="19">
        <v>290</v>
      </c>
      <c r="Q24">
        <v>120.9</v>
      </c>
      <c r="R24">
        <v>55</v>
      </c>
      <c r="S24">
        <v>173</v>
      </c>
      <c r="T24">
        <v>11.6</v>
      </c>
      <c r="U24">
        <v>4</v>
      </c>
    </row>
    <row r="25" spans="4:24" x14ac:dyDescent="0.3">
      <c r="D25">
        <v>264</v>
      </c>
      <c r="E25" t="s">
        <v>18</v>
      </c>
      <c r="F25" t="s">
        <v>31</v>
      </c>
      <c r="G25">
        <v>20442</v>
      </c>
      <c r="H25" t="s">
        <v>20</v>
      </c>
      <c r="I25" t="s">
        <v>21</v>
      </c>
      <c r="J25" t="s">
        <v>21</v>
      </c>
      <c r="K25" t="s">
        <v>21</v>
      </c>
      <c r="L25" t="s">
        <v>21</v>
      </c>
      <c r="M25">
        <v>17.399999999999999</v>
      </c>
      <c r="N25">
        <v>395</v>
      </c>
      <c r="O25">
        <v>2.94</v>
      </c>
      <c r="P25" s="19">
        <v>290</v>
      </c>
      <c r="Q25">
        <v>227.04</v>
      </c>
      <c r="R25">
        <v>191</v>
      </c>
      <c r="S25">
        <v>214</v>
      </c>
      <c r="T25">
        <v>11.7</v>
      </c>
      <c r="U25">
        <v>4</v>
      </c>
    </row>
    <row r="26" spans="4:24" x14ac:dyDescent="0.3">
      <c r="D26">
        <v>4079</v>
      </c>
      <c r="E26" t="s">
        <v>18</v>
      </c>
      <c r="F26" t="s">
        <v>19</v>
      </c>
      <c r="G26">
        <v>16261</v>
      </c>
      <c r="H26" t="s">
        <v>26</v>
      </c>
      <c r="I26" t="s">
        <v>24</v>
      </c>
      <c r="J26" t="s">
        <v>21</v>
      </c>
      <c r="K26" t="s">
        <v>24</v>
      </c>
      <c r="L26" t="s">
        <v>24</v>
      </c>
      <c r="M26">
        <v>2.1</v>
      </c>
      <c r="N26">
        <v>456</v>
      </c>
      <c r="O26">
        <v>4</v>
      </c>
      <c r="P26">
        <v>124</v>
      </c>
      <c r="Q26">
        <v>221.88</v>
      </c>
      <c r="R26">
        <v>230</v>
      </c>
      <c r="S26">
        <v>70</v>
      </c>
      <c r="T26">
        <v>9.9</v>
      </c>
      <c r="U26">
        <v>2</v>
      </c>
    </row>
    <row r="27" spans="4:24" x14ac:dyDescent="0.3">
      <c r="D27">
        <v>4127</v>
      </c>
      <c r="E27" t="s">
        <v>23</v>
      </c>
      <c r="F27" t="s">
        <v>31</v>
      </c>
      <c r="G27">
        <v>16463</v>
      </c>
      <c r="H27" t="s">
        <v>20</v>
      </c>
      <c r="I27" t="s">
        <v>24</v>
      </c>
      <c r="J27" t="s">
        <v>24</v>
      </c>
      <c r="K27" t="s">
        <v>24</v>
      </c>
      <c r="L27" t="s">
        <v>24</v>
      </c>
      <c r="M27">
        <v>0.7</v>
      </c>
      <c r="N27">
        <v>298</v>
      </c>
      <c r="O27">
        <v>4.0999999999999996</v>
      </c>
      <c r="P27">
        <v>40</v>
      </c>
      <c r="Q27">
        <v>106.95</v>
      </c>
      <c r="R27">
        <v>66</v>
      </c>
      <c r="S27">
        <v>324</v>
      </c>
      <c r="T27">
        <v>11.3</v>
      </c>
      <c r="U27">
        <v>2</v>
      </c>
    </row>
    <row r="28" spans="4:24" x14ac:dyDescent="0.3">
      <c r="D28">
        <v>1444</v>
      </c>
      <c r="E28" t="s">
        <v>18</v>
      </c>
      <c r="F28" t="s">
        <v>31</v>
      </c>
      <c r="G28">
        <v>19002</v>
      </c>
      <c r="H28" t="s">
        <v>20</v>
      </c>
      <c r="I28" t="s">
        <v>24</v>
      </c>
      <c r="J28" t="s">
        <v>21</v>
      </c>
      <c r="K28" t="s">
        <v>21</v>
      </c>
      <c r="L28" t="s">
        <v>24</v>
      </c>
      <c r="M28">
        <v>5.2</v>
      </c>
      <c r="N28">
        <v>1128</v>
      </c>
      <c r="O28">
        <v>3.68</v>
      </c>
      <c r="P28">
        <v>53</v>
      </c>
      <c r="Q28">
        <v>165.85</v>
      </c>
      <c r="R28">
        <v>166</v>
      </c>
      <c r="S28">
        <v>421</v>
      </c>
      <c r="T28">
        <v>9.9</v>
      </c>
      <c r="U28">
        <v>3</v>
      </c>
    </row>
    <row r="29" spans="4:24" x14ac:dyDescent="0.3">
      <c r="D29">
        <v>77</v>
      </c>
      <c r="E29" t="s">
        <v>18</v>
      </c>
      <c r="F29" t="s">
        <v>31</v>
      </c>
      <c r="G29">
        <v>19884</v>
      </c>
      <c r="H29" t="s">
        <v>20</v>
      </c>
      <c r="I29" t="s">
        <v>21</v>
      </c>
      <c r="J29" t="s">
        <v>21</v>
      </c>
      <c r="K29" t="s">
        <v>21</v>
      </c>
      <c r="L29" t="s">
        <v>27</v>
      </c>
      <c r="M29" s="23">
        <v>17.399999999999999</v>
      </c>
      <c r="N29">
        <v>175</v>
      </c>
      <c r="O29">
        <v>3.31</v>
      </c>
      <c r="P29">
        <v>221</v>
      </c>
      <c r="Q29">
        <v>101.91</v>
      </c>
      <c r="R29">
        <v>168</v>
      </c>
      <c r="S29">
        <v>80</v>
      </c>
      <c r="T29">
        <v>12</v>
      </c>
      <c r="U29">
        <v>4</v>
      </c>
    </row>
    <row r="30" spans="4:24" x14ac:dyDescent="0.3">
      <c r="D30">
        <v>549</v>
      </c>
      <c r="E30" t="s">
        <v>18</v>
      </c>
      <c r="F30" t="s">
        <v>31</v>
      </c>
      <c r="G30">
        <v>16417</v>
      </c>
      <c r="H30" t="s">
        <v>20</v>
      </c>
      <c r="I30" t="s">
        <v>21</v>
      </c>
      <c r="J30" t="s">
        <v>21</v>
      </c>
      <c r="K30" t="s">
        <v>21</v>
      </c>
      <c r="L30" t="s">
        <v>21</v>
      </c>
      <c r="M30">
        <v>17.2</v>
      </c>
      <c r="N30">
        <v>222</v>
      </c>
      <c r="O30">
        <v>3.23</v>
      </c>
      <c r="P30">
        <v>209</v>
      </c>
      <c r="Q30">
        <v>189.1</v>
      </c>
      <c r="R30">
        <v>195</v>
      </c>
      <c r="S30">
        <v>144</v>
      </c>
      <c r="T30">
        <v>13</v>
      </c>
      <c r="U30">
        <v>4</v>
      </c>
    </row>
    <row r="31" spans="4:24" x14ac:dyDescent="0.3">
      <c r="D31">
        <v>4509</v>
      </c>
      <c r="E31" t="s">
        <v>23</v>
      </c>
      <c r="F31" t="s">
        <v>31</v>
      </c>
      <c r="G31">
        <v>23331</v>
      </c>
      <c r="H31" t="s">
        <v>20</v>
      </c>
      <c r="I31" t="s">
        <v>24</v>
      </c>
      <c r="J31" t="s">
        <v>24</v>
      </c>
      <c r="K31" t="s">
        <v>24</v>
      </c>
      <c r="L31" t="s">
        <v>24</v>
      </c>
      <c r="M31">
        <v>0.7</v>
      </c>
      <c r="N31">
        <v>370</v>
      </c>
      <c r="O31">
        <v>3.78</v>
      </c>
      <c r="P31">
        <v>24</v>
      </c>
      <c r="Q31">
        <v>73.53</v>
      </c>
      <c r="R31">
        <v>86</v>
      </c>
      <c r="S31">
        <v>390</v>
      </c>
      <c r="T31">
        <v>10.6</v>
      </c>
      <c r="U31">
        <v>2</v>
      </c>
    </row>
    <row r="32" spans="4:24" x14ac:dyDescent="0.3">
      <c r="D32">
        <v>321</v>
      </c>
      <c r="E32" t="s">
        <v>18</v>
      </c>
      <c r="F32" t="s">
        <v>31</v>
      </c>
      <c r="G32">
        <v>15116</v>
      </c>
      <c r="H32" t="s">
        <v>20</v>
      </c>
      <c r="I32" t="s">
        <v>24</v>
      </c>
      <c r="J32" t="s">
        <v>21</v>
      </c>
      <c r="K32" t="s">
        <v>21</v>
      </c>
      <c r="L32" t="s">
        <v>24</v>
      </c>
      <c r="M32">
        <v>3.6</v>
      </c>
      <c r="N32">
        <v>260</v>
      </c>
      <c r="O32">
        <v>2.54</v>
      </c>
      <c r="P32">
        <v>172</v>
      </c>
      <c r="Q32">
        <v>121.26</v>
      </c>
      <c r="R32">
        <v>158</v>
      </c>
      <c r="S32">
        <v>124</v>
      </c>
      <c r="T32">
        <v>11</v>
      </c>
      <c r="U32">
        <v>4</v>
      </c>
    </row>
    <row r="33" spans="4:21" x14ac:dyDescent="0.3">
      <c r="D33">
        <v>3839</v>
      </c>
      <c r="E33" t="s">
        <v>18</v>
      </c>
      <c r="F33" t="s">
        <v>31</v>
      </c>
      <c r="G33">
        <v>15177</v>
      </c>
      <c r="H33" t="s">
        <v>20</v>
      </c>
      <c r="I33" t="s">
        <v>24</v>
      </c>
      <c r="J33" t="s">
        <v>21</v>
      </c>
      <c r="K33" t="s">
        <v>24</v>
      </c>
      <c r="L33" t="s">
        <v>24</v>
      </c>
      <c r="M33">
        <v>4.7</v>
      </c>
      <c r="N33">
        <v>296</v>
      </c>
      <c r="O33">
        <v>3.44</v>
      </c>
      <c r="P33">
        <v>114</v>
      </c>
      <c r="Q33">
        <v>206.4</v>
      </c>
      <c r="R33">
        <v>101</v>
      </c>
      <c r="S33">
        <v>195</v>
      </c>
      <c r="T33">
        <v>10.3</v>
      </c>
      <c r="U33">
        <v>2</v>
      </c>
    </row>
    <row r="34" spans="4:21" x14ac:dyDescent="0.3">
      <c r="D34">
        <v>4523</v>
      </c>
      <c r="E34" t="s">
        <v>23</v>
      </c>
      <c r="F34" t="s">
        <v>31</v>
      </c>
      <c r="G34">
        <v>19722</v>
      </c>
      <c r="H34" t="s">
        <v>20</v>
      </c>
      <c r="I34" t="s">
        <v>24</v>
      </c>
      <c r="J34" t="s">
        <v>21</v>
      </c>
      <c r="K34" t="s">
        <v>24</v>
      </c>
      <c r="L34" t="s">
        <v>24</v>
      </c>
      <c r="M34">
        <v>1.8</v>
      </c>
      <c r="N34">
        <v>262</v>
      </c>
      <c r="O34">
        <v>3.34</v>
      </c>
      <c r="P34">
        <v>101</v>
      </c>
      <c r="Q34">
        <v>82.56</v>
      </c>
      <c r="R34">
        <v>158</v>
      </c>
      <c r="S34">
        <v>286</v>
      </c>
      <c r="T34">
        <v>10.6</v>
      </c>
      <c r="U34">
        <v>4</v>
      </c>
    </row>
    <row r="35" spans="4:21" x14ac:dyDescent="0.3">
      <c r="D35">
        <v>3170</v>
      </c>
      <c r="E35" t="s">
        <v>18</v>
      </c>
      <c r="F35" t="s">
        <v>31</v>
      </c>
      <c r="G35">
        <v>18731</v>
      </c>
      <c r="H35" t="s">
        <v>20</v>
      </c>
      <c r="I35" t="s">
        <v>24</v>
      </c>
      <c r="J35" t="s">
        <v>24</v>
      </c>
      <c r="K35" t="s">
        <v>24</v>
      </c>
      <c r="L35" t="s">
        <v>24</v>
      </c>
      <c r="M35">
        <v>0.8</v>
      </c>
      <c r="N35">
        <v>210</v>
      </c>
      <c r="O35">
        <v>3.19</v>
      </c>
      <c r="P35">
        <v>82</v>
      </c>
      <c r="Q35">
        <v>218.55</v>
      </c>
      <c r="R35">
        <v>113</v>
      </c>
      <c r="S35">
        <v>180</v>
      </c>
      <c r="T35">
        <v>12</v>
      </c>
      <c r="U35">
        <v>3</v>
      </c>
    </row>
    <row r="36" spans="4:21" x14ac:dyDescent="0.3">
      <c r="D36">
        <v>3933</v>
      </c>
      <c r="E36" t="s">
        <v>23</v>
      </c>
      <c r="F36" t="s">
        <v>19</v>
      </c>
      <c r="G36">
        <v>19015</v>
      </c>
      <c r="H36" t="s">
        <v>20</v>
      </c>
      <c r="I36" t="s">
        <v>24</v>
      </c>
      <c r="J36" t="s">
        <v>24</v>
      </c>
      <c r="K36" t="s">
        <v>24</v>
      </c>
      <c r="L36" t="s">
        <v>24</v>
      </c>
      <c r="M36">
        <v>0.8</v>
      </c>
      <c r="N36">
        <v>364</v>
      </c>
      <c r="O36">
        <v>3.7</v>
      </c>
      <c r="P36">
        <v>37</v>
      </c>
      <c r="Q36">
        <v>170.5</v>
      </c>
      <c r="R36">
        <v>64</v>
      </c>
      <c r="S36">
        <v>273</v>
      </c>
      <c r="T36">
        <v>10.5</v>
      </c>
      <c r="U36">
        <v>2</v>
      </c>
    </row>
    <row r="37" spans="4:21" x14ac:dyDescent="0.3">
      <c r="D37">
        <v>2847</v>
      </c>
      <c r="E37" t="s">
        <v>18</v>
      </c>
      <c r="F37" t="s">
        <v>31</v>
      </c>
      <c r="G37">
        <v>17758</v>
      </c>
      <c r="H37" t="s">
        <v>20</v>
      </c>
      <c r="I37" t="s">
        <v>24</v>
      </c>
      <c r="J37" t="s">
        <v>24</v>
      </c>
      <c r="K37" t="s">
        <v>24</v>
      </c>
      <c r="L37" t="s">
        <v>24</v>
      </c>
      <c r="M37">
        <v>1.2</v>
      </c>
      <c r="N37">
        <v>314</v>
      </c>
      <c r="O37">
        <v>3.2</v>
      </c>
      <c r="P37">
        <v>201</v>
      </c>
      <c r="Q37">
        <v>72.239999999999995</v>
      </c>
      <c r="R37">
        <v>151</v>
      </c>
      <c r="S37">
        <v>431</v>
      </c>
      <c r="T37">
        <v>10.6</v>
      </c>
      <c r="U37">
        <v>3</v>
      </c>
    </row>
    <row r="38" spans="4:21" x14ac:dyDescent="0.3">
      <c r="D38">
        <v>3611</v>
      </c>
      <c r="E38" t="s">
        <v>23</v>
      </c>
      <c r="F38" t="s">
        <v>31</v>
      </c>
      <c r="G38">
        <v>20604</v>
      </c>
      <c r="H38" t="s">
        <v>20</v>
      </c>
      <c r="I38" t="s">
        <v>24</v>
      </c>
      <c r="J38" t="s">
        <v>24</v>
      </c>
      <c r="K38" t="s">
        <v>24</v>
      </c>
      <c r="L38" t="s">
        <v>24</v>
      </c>
      <c r="M38">
        <v>0.3</v>
      </c>
      <c r="N38">
        <v>172</v>
      </c>
      <c r="O38">
        <v>3.39</v>
      </c>
      <c r="P38">
        <v>18</v>
      </c>
      <c r="Q38">
        <v>71.3</v>
      </c>
      <c r="R38">
        <v>96</v>
      </c>
      <c r="S38">
        <v>311</v>
      </c>
      <c r="T38">
        <v>10.6</v>
      </c>
      <c r="U38">
        <v>2</v>
      </c>
    </row>
    <row r="39" spans="4:21" x14ac:dyDescent="0.3">
      <c r="D39">
        <v>223</v>
      </c>
      <c r="E39" t="s">
        <v>18</v>
      </c>
      <c r="F39" t="s">
        <v>19</v>
      </c>
      <c r="G39">
        <v>22546</v>
      </c>
      <c r="H39" t="s">
        <v>20</v>
      </c>
      <c r="I39" t="s">
        <v>21</v>
      </c>
      <c r="J39" t="s">
        <v>21</v>
      </c>
      <c r="K39" t="s">
        <v>24</v>
      </c>
      <c r="L39" t="s">
        <v>21</v>
      </c>
      <c r="M39">
        <v>7.1</v>
      </c>
      <c r="N39">
        <v>334</v>
      </c>
      <c r="O39">
        <v>3.01</v>
      </c>
      <c r="P39">
        <v>150</v>
      </c>
      <c r="Q39">
        <v>180.6</v>
      </c>
      <c r="R39">
        <v>118</v>
      </c>
      <c r="S39">
        <v>102</v>
      </c>
      <c r="T39">
        <v>12</v>
      </c>
      <c r="U39">
        <v>4</v>
      </c>
    </row>
    <row r="40" spans="4:21" x14ac:dyDescent="0.3">
      <c r="D40">
        <v>3244</v>
      </c>
      <c r="E40" t="s">
        <v>18</v>
      </c>
      <c r="F40" t="s">
        <v>31</v>
      </c>
      <c r="G40">
        <v>13378</v>
      </c>
      <c r="H40" t="s">
        <v>20</v>
      </c>
      <c r="I40" t="s">
        <v>24</v>
      </c>
      <c r="J40" t="s">
        <v>21</v>
      </c>
      <c r="K40" t="s">
        <v>21</v>
      </c>
      <c r="L40" t="s">
        <v>24</v>
      </c>
      <c r="M40">
        <v>3.3</v>
      </c>
      <c r="N40">
        <v>383</v>
      </c>
      <c r="O40">
        <v>3.53</v>
      </c>
      <c r="P40">
        <v>102</v>
      </c>
      <c r="Q40">
        <v>137.94999999999999</v>
      </c>
      <c r="R40">
        <v>87</v>
      </c>
      <c r="S40">
        <v>234</v>
      </c>
      <c r="T40">
        <v>11</v>
      </c>
      <c r="U40">
        <v>4</v>
      </c>
    </row>
    <row r="41" spans="4:21" x14ac:dyDescent="0.3">
      <c r="D41">
        <v>2297</v>
      </c>
      <c r="E41" t="s">
        <v>18</v>
      </c>
      <c r="F41" t="s">
        <v>19</v>
      </c>
      <c r="G41">
        <v>20232</v>
      </c>
      <c r="H41" t="s">
        <v>20</v>
      </c>
      <c r="I41" t="s">
        <v>24</v>
      </c>
      <c r="J41" t="s">
        <v>21</v>
      </c>
      <c r="K41" t="s">
        <v>24</v>
      </c>
      <c r="L41" t="s">
        <v>24</v>
      </c>
      <c r="M41">
        <v>0.7</v>
      </c>
      <c r="N41">
        <v>282</v>
      </c>
      <c r="O41">
        <v>3</v>
      </c>
      <c r="P41">
        <v>52</v>
      </c>
      <c r="Q41">
        <v>72.239999999999995</v>
      </c>
      <c r="R41">
        <v>111</v>
      </c>
      <c r="S41">
        <v>563</v>
      </c>
      <c r="T41">
        <v>10.6</v>
      </c>
      <c r="U41">
        <v>4</v>
      </c>
    </row>
    <row r="42" spans="4:21" x14ac:dyDescent="0.3">
      <c r="D42">
        <v>4467</v>
      </c>
      <c r="E42" t="s">
        <v>23</v>
      </c>
      <c r="F42" t="s">
        <v>19</v>
      </c>
      <c r="G42">
        <v>17046</v>
      </c>
      <c r="H42" t="s">
        <v>20</v>
      </c>
      <c r="I42" t="s">
        <v>24</v>
      </c>
      <c r="J42" t="s">
        <v>24</v>
      </c>
      <c r="K42" t="s">
        <v>24</v>
      </c>
      <c r="L42" t="s">
        <v>24</v>
      </c>
      <c r="M42">
        <v>1.3</v>
      </c>
      <c r="N42" s="10">
        <v>371</v>
      </c>
      <c r="O42">
        <v>3.34</v>
      </c>
      <c r="P42">
        <v>105</v>
      </c>
      <c r="Q42">
        <v>104.49</v>
      </c>
      <c r="R42" s="10">
        <v>123</v>
      </c>
      <c r="S42">
        <v>358</v>
      </c>
      <c r="T42">
        <v>11</v>
      </c>
      <c r="U42">
        <v>4</v>
      </c>
    </row>
    <row r="43" spans="4:21" x14ac:dyDescent="0.3">
      <c r="D43">
        <v>1350</v>
      </c>
      <c r="E43" t="s">
        <v>18</v>
      </c>
      <c r="F43" t="s">
        <v>19</v>
      </c>
      <c r="G43">
        <v>12285</v>
      </c>
      <c r="H43" t="s">
        <v>20</v>
      </c>
      <c r="I43" t="s">
        <v>24</v>
      </c>
      <c r="J43" t="s">
        <v>21</v>
      </c>
      <c r="K43" t="s">
        <v>24</v>
      </c>
      <c r="L43" t="s">
        <v>24</v>
      </c>
      <c r="M43">
        <v>6.8</v>
      </c>
      <c r="N43" s="10">
        <v>371</v>
      </c>
      <c r="O43">
        <v>3.26</v>
      </c>
      <c r="P43">
        <v>96</v>
      </c>
      <c r="Q43">
        <v>151.9</v>
      </c>
      <c r="R43" s="10">
        <v>123</v>
      </c>
      <c r="S43">
        <v>226</v>
      </c>
      <c r="T43">
        <v>11.7</v>
      </c>
      <c r="U43">
        <v>4</v>
      </c>
    </row>
    <row r="44" spans="4:21" x14ac:dyDescent="0.3">
      <c r="D44">
        <v>4453</v>
      </c>
      <c r="E44" t="s">
        <v>23</v>
      </c>
      <c r="F44" t="s">
        <v>31</v>
      </c>
      <c r="G44">
        <v>12307</v>
      </c>
      <c r="H44" t="s">
        <v>20</v>
      </c>
      <c r="I44" t="s">
        <v>24</v>
      </c>
      <c r="J44" t="s">
        <v>21</v>
      </c>
      <c r="K44" t="s">
        <v>21</v>
      </c>
      <c r="L44" t="s">
        <v>24</v>
      </c>
      <c r="M44">
        <v>2.1</v>
      </c>
      <c r="N44" s="10">
        <v>371</v>
      </c>
      <c r="O44">
        <v>3.54</v>
      </c>
      <c r="P44">
        <v>122</v>
      </c>
      <c r="Q44">
        <v>56.76</v>
      </c>
      <c r="R44" s="10">
        <v>123</v>
      </c>
      <c r="S44">
        <v>344</v>
      </c>
      <c r="T44">
        <v>11</v>
      </c>
      <c r="U44">
        <v>4</v>
      </c>
    </row>
    <row r="45" spans="4:21" x14ac:dyDescent="0.3">
      <c r="D45">
        <v>4556</v>
      </c>
      <c r="E45" t="s">
        <v>23</v>
      </c>
      <c r="F45" t="s">
        <v>19</v>
      </c>
      <c r="G45">
        <v>17850</v>
      </c>
      <c r="H45" t="s">
        <v>20</v>
      </c>
      <c r="I45" t="s">
        <v>24</v>
      </c>
      <c r="J45" t="s">
        <v>24</v>
      </c>
      <c r="K45" t="s">
        <v>24</v>
      </c>
      <c r="L45" t="s">
        <v>24</v>
      </c>
      <c r="M45">
        <v>1.1000000000000001</v>
      </c>
      <c r="N45">
        <v>361</v>
      </c>
      <c r="O45">
        <v>3.64</v>
      </c>
      <c r="P45">
        <v>36</v>
      </c>
      <c r="Q45">
        <v>67.08</v>
      </c>
      <c r="R45">
        <v>89</v>
      </c>
      <c r="S45">
        <v>203</v>
      </c>
      <c r="T45">
        <v>10.6</v>
      </c>
      <c r="U45">
        <v>2</v>
      </c>
    </row>
    <row r="46" spans="4:21" x14ac:dyDescent="0.3">
      <c r="D46">
        <v>3428</v>
      </c>
      <c r="E46" t="s">
        <v>18</v>
      </c>
      <c r="F46" t="s">
        <v>31</v>
      </c>
      <c r="G46">
        <v>13727</v>
      </c>
      <c r="H46" t="s">
        <v>20</v>
      </c>
      <c r="I46" t="s">
        <v>24</v>
      </c>
      <c r="J46" t="s">
        <v>21</v>
      </c>
      <c r="K46" t="s">
        <v>21</v>
      </c>
      <c r="L46" t="s">
        <v>21</v>
      </c>
      <c r="M46">
        <v>3.3</v>
      </c>
      <c r="N46">
        <v>299</v>
      </c>
      <c r="O46">
        <v>3.55</v>
      </c>
      <c r="P46">
        <v>131</v>
      </c>
      <c r="Q46">
        <v>119.35</v>
      </c>
      <c r="R46">
        <v>50</v>
      </c>
      <c r="S46">
        <v>199</v>
      </c>
      <c r="T46">
        <v>11.7</v>
      </c>
      <c r="U46">
        <v>3</v>
      </c>
    </row>
    <row r="47" spans="4:21" x14ac:dyDescent="0.3">
      <c r="D47">
        <v>4025</v>
      </c>
      <c r="E47" t="s">
        <v>23</v>
      </c>
      <c r="F47" t="s">
        <v>31</v>
      </c>
      <c r="G47">
        <v>15265</v>
      </c>
      <c r="H47" t="s">
        <v>20</v>
      </c>
      <c r="I47" t="s">
        <v>24</v>
      </c>
      <c r="J47" t="s">
        <v>24</v>
      </c>
      <c r="K47" t="s">
        <v>24</v>
      </c>
      <c r="L47" t="s">
        <v>24</v>
      </c>
      <c r="M47">
        <v>0.6</v>
      </c>
      <c r="N47" s="10">
        <v>371</v>
      </c>
      <c r="O47">
        <v>3.93</v>
      </c>
      <c r="P47">
        <v>19</v>
      </c>
      <c r="Q47">
        <v>71.3</v>
      </c>
      <c r="R47" s="10">
        <v>123</v>
      </c>
      <c r="S47">
        <v>474</v>
      </c>
      <c r="T47">
        <v>10.9</v>
      </c>
      <c r="U47">
        <v>2</v>
      </c>
    </row>
    <row r="48" spans="4:21" x14ac:dyDescent="0.3">
      <c r="D48">
        <v>2256</v>
      </c>
      <c r="E48" t="s">
        <v>18</v>
      </c>
      <c r="F48" t="s">
        <v>19</v>
      </c>
      <c r="G48">
        <v>16728</v>
      </c>
      <c r="H48" t="s">
        <v>20</v>
      </c>
      <c r="I48" t="s">
        <v>24</v>
      </c>
      <c r="J48" t="s">
        <v>21</v>
      </c>
      <c r="K48" t="s">
        <v>24</v>
      </c>
      <c r="L48" t="s">
        <v>24</v>
      </c>
      <c r="M48">
        <v>5.7</v>
      </c>
      <c r="N48">
        <v>482</v>
      </c>
      <c r="O48">
        <v>2.84</v>
      </c>
      <c r="P48">
        <v>161</v>
      </c>
      <c r="Q48">
        <v>136.74</v>
      </c>
      <c r="R48">
        <v>165</v>
      </c>
      <c r="S48">
        <v>518</v>
      </c>
      <c r="T48">
        <v>12.7</v>
      </c>
      <c r="U48">
        <v>3</v>
      </c>
    </row>
    <row r="49" spans="4:21" x14ac:dyDescent="0.3">
      <c r="D49">
        <v>2576</v>
      </c>
      <c r="E49" t="s">
        <v>23</v>
      </c>
      <c r="F49" t="s">
        <v>31</v>
      </c>
      <c r="G49">
        <v>17323</v>
      </c>
      <c r="H49" t="s">
        <v>20</v>
      </c>
      <c r="I49" t="s">
        <v>24</v>
      </c>
      <c r="J49" t="s">
        <v>24</v>
      </c>
      <c r="K49" t="s">
        <v>24</v>
      </c>
      <c r="L49" t="s">
        <v>24</v>
      </c>
      <c r="M49">
        <v>0.5</v>
      </c>
      <c r="N49">
        <v>316</v>
      </c>
      <c r="O49">
        <v>3.65</v>
      </c>
      <c r="P49">
        <v>68</v>
      </c>
      <c r="Q49">
        <v>187.55</v>
      </c>
      <c r="R49">
        <v>71</v>
      </c>
      <c r="S49">
        <v>356</v>
      </c>
      <c r="T49">
        <v>9.8000000000000007</v>
      </c>
      <c r="U49">
        <v>3</v>
      </c>
    </row>
    <row r="50" spans="4:21" x14ac:dyDescent="0.3">
      <c r="D50">
        <v>4427</v>
      </c>
      <c r="E50" t="s">
        <v>23</v>
      </c>
      <c r="F50" t="s">
        <v>31</v>
      </c>
      <c r="G50">
        <v>17947</v>
      </c>
      <c r="H50" t="s">
        <v>26</v>
      </c>
      <c r="I50" t="s">
        <v>24</v>
      </c>
      <c r="J50" t="s">
        <v>24</v>
      </c>
      <c r="K50" t="s">
        <v>24</v>
      </c>
      <c r="L50" t="s">
        <v>24</v>
      </c>
      <c r="M50">
        <v>1.9</v>
      </c>
      <c r="N50">
        <v>259</v>
      </c>
      <c r="O50">
        <v>3.7</v>
      </c>
      <c r="P50">
        <v>281</v>
      </c>
      <c r="Q50">
        <v>188.34</v>
      </c>
      <c r="R50">
        <v>178</v>
      </c>
      <c r="S50">
        <v>214</v>
      </c>
      <c r="T50">
        <v>11</v>
      </c>
      <c r="U50">
        <v>3</v>
      </c>
    </row>
    <row r="51" spans="4:21" x14ac:dyDescent="0.3">
      <c r="D51">
        <v>708</v>
      </c>
      <c r="E51" t="s">
        <v>18</v>
      </c>
      <c r="F51" t="s">
        <v>31</v>
      </c>
      <c r="G51">
        <v>22336</v>
      </c>
      <c r="H51" t="s">
        <v>20</v>
      </c>
      <c r="I51" t="s">
        <v>24</v>
      </c>
      <c r="J51" t="s">
        <v>21</v>
      </c>
      <c r="K51" t="s">
        <v>24</v>
      </c>
      <c r="L51" t="s">
        <v>24</v>
      </c>
      <c r="M51">
        <v>0.8</v>
      </c>
      <c r="N51" s="10">
        <v>371</v>
      </c>
      <c r="O51">
        <v>3.82</v>
      </c>
      <c r="P51">
        <v>58</v>
      </c>
      <c r="Q51">
        <v>97.65</v>
      </c>
      <c r="R51" s="10">
        <v>123</v>
      </c>
      <c r="S51">
        <v>233</v>
      </c>
      <c r="T51">
        <v>11</v>
      </c>
      <c r="U51">
        <v>4</v>
      </c>
    </row>
    <row r="52" spans="4:21" x14ac:dyDescent="0.3">
      <c r="D52">
        <v>2598</v>
      </c>
      <c r="E52" t="s">
        <v>18</v>
      </c>
      <c r="F52" t="s">
        <v>19</v>
      </c>
      <c r="G52">
        <v>19544</v>
      </c>
      <c r="H52" t="s">
        <v>20</v>
      </c>
      <c r="I52" t="s">
        <v>24</v>
      </c>
      <c r="J52" t="s">
        <v>21</v>
      </c>
      <c r="K52" t="s">
        <v>24</v>
      </c>
      <c r="L52" t="s">
        <v>24</v>
      </c>
      <c r="M52">
        <v>1.1000000000000001</v>
      </c>
      <c r="N52">
        <v>257</v>
      </c>
      <c r="O52">
        <v>3.36</v>
      </c>
      <c r="P52">
        <v>43</v>
      </c>
      <c r="Q52">
        <v>106.95</v>
      </c>
      <c r="R52">
        <v>73</v>
      </c>
      <c r="S52">
        <v>128</v>
      </c>
      <c r="T52">
        <v>10.6</v>
      </c>
      <c r="U52">
        <v>4</v>
      </c>
    </row>
    <row r="53" spans="4:21" x14ac:dyDescent="0.3">
      <c r="D53">
        <v>3853</v>
      </c>
      <c r="E53" t="s">
        <v>18</v>
      </c>
      <c r="F53" t="s">
        <v>31</v>
      </c>
      <c r="G53">
        <v>19025</v>
      </c>
      <c r="H53" t="s">
        <v>20</v>
      </c>
      <c r="I53" t="s">
        <v>24</v>
      </c>
      <c r="J53" t="s">
        <v>24</v>
      </c>
      <c r="K53" t="s">
        <v>24</v>
      </c>
      <c r="L53" t="s">
        <v>24</v>
      </c>
      <c r="M53">
        <v>0.8</v>
      </c>
      <c r="N53">
        <v>276</v>
      </c>
      <c r="O53">
        <v>3.6</v>
      </c>
      <c r="P53">
        <v>54</v>
      </c>
      <c r="Q53">
        <v>99.33</v>
      </c>
      <c r="R53">
        <v>143</v>
      </c>
      <c r="S53">
        <v>273</v>
      </c>
      <c r="T53">
        <v>10.6</v>
      </c>
      <c r="U53">
        <v>2</v>
      </c>
    </row>
    <row r="54" spans="4:21" x14ac:dyDescent="0.3">
      <c r="D54">
        <v>2386</v>
      </c>
      <c r="E54" t="s">
        <v>18</v>
      </c>
      <c r="F54" t="s">
        <v>19</v>
      </c>
      <c r="G54">
        <v>18460</v>
      </c>
      <c r="H54" t="s">
        <v>26</v>
      </c>
      <c r="I54" t="s">
        <v>24</v>
      </c>
      <c r="J54" t="s">
        <v>24</v>
      </c>
      <c r="K54" t="s">
        <v>24</v>
      </c>
      <c r="L54" t="s">
        <v>24</v>
      </c>
      <c r="M54">
        <v>6</v>
      </c>
      <c r="N54">
        <v>614</v>
      </c>
      <c r="O54">
        <v>3.7</v>
      </c>
      <c r="P54">
        <v>158</v>
      </c>
      <c r="Q54">
        <v>206.4</v>
      </c>
      <c r="R54">
        <v>93</v>
      </c>
      <c r="S54">
        <v>362</v>
      </c>
      <c r="T54">
        <v>10.6</v>
      </c>
      <c r="U54">
        <v>1</v>
      </c>
    </row>
    <row r="55" spans="4:21" x14ac:dyDescent="0.3">
      <c r="D55">
        <v>1000</v>
      </c>
      <c r="E55" t="s">
        <v>18</v>
      </c>
      <c r="F55" t="s">
        <v>19</v>
      </c>
      <c r="G55">
        <v>24621</v>
      </c>
      <c r="H55" t="s">
        <v>20</v>
      </c>
      <c r="I55" t="s">
        <v>24</v>
      </c>
      <c r="J55" t="s">
        <v>21</v>
      </c>
      <c r="K55" t="s">
        <v>24</v>
      </c>
      <c r="L55" t="s">
        <v>24</v>
      </c>
      <c r="M55">
        <v>2.6</v>
      </c>
      <c r="N55" s="10">
        <v>371</v>
      </c>
      <c r="O55">
        <v>3.1</v>
      </c>
      <c r="P55">
        <v>94</v>
      </c>
      <c r="Q55">
        <v>56.76</v>
      </c>
      <c r="R55" s="10">
        <v>123</v>
      </c>
      <c r="S55">
        <v>214</v>
      </c>
      <c r="T55">
        <v>11</v>
      </c>
      <c r="U55">
        <v>4</v>
      </c>
    </row>
    <row r="56" spans="4:21" x14ac:dyDescent="0.3">
      <c r="D56">
        <v>1434</v>
      </c>
      <c r="E56" t="s">
        <v>18</v>
      </c>
      <c r="F56" t="s">
        <v>19</v>
      </c>
      <c r="G56">
        <v>14317</v>
      </c>
      <c r="H56" t="s">
        <v>20</v>
      </c>
      <c r="I56" t="s">
        <v>21</v>
      </c>
      <c r="J56" t="s">
        <v>21</v>
      </c>
      <c r="K56" t="s">
        <v>21</v>
      </c>
      <c r="L56" t="s">
        <v>21</v>
      </c>
      <c r="M56">
        <v>1.3</v>
      </c>
      <c r="N56">
        <v>288</v>
      </c>
      <c r="O56">
        <v>3.4</v>
      </c>
      <c r="P56">
        <v>262</v>
      </c>
      <c r="Q56">
        <v>73.53</v>
      </c>
      <c r="R56">
        <v>125</v>
      </c>
      <c r="S56">
        <v>254</v>
      </c>
      <c r="T56">
        <v>11</v>
      </c>
      <c r="U56">
        <v>4</v>
      </c>
    </row>
    <row r="57" spans="4:21" x14ac:dyDescent="0.3">
      <c r="D57">
        <v>1360</v>
      </c>
      <c r="E57" t="s">
        <v>18</v>
      </c>
      <c r="F57" t="s">
        <v>19</v>
      </c>
      <c r="G57">
        <v>24020</v>
      </c>
      <c r="H57" t="s">
        <v>26</v>
      </c>
      <c r="I57" t="s">
        <v>24</v>
      </c>
      <c r="J57" t="s">
        <v>24</v>
      </c>
      <c r="K57" t="s">
        <v>24</v>
      </c>
      <c r="L57" t="s">
        <v>24</v>
      </c>
      <c r="M57">
        <v>1.8</v>
      </c>
      <c r="N57">
        <v>416</v>
      </c>
      <c r="O57">
        <v>3.94</v>
      </c>
      <c r="P57">
        <v>121</v>
      </c>
      <c r="Q57">
        <v>79.98</v>
      </c>
      <c r="R57">
        <v>219</v>
      </c>
      <c r="S57">
        <v>213</v>
      </c>
      <c r="T57">
        <v>11</v>
      </c>
      <c r="U57">
        <v>3</v>
      </c>
    </row>
    <row r="58" spans="4:21" x14ac:dyDescent="0.3">
      <c r="D58">
        <v>1847</v>
      </c>
      <c r="E58" t="s">
        <v>18</v>
      </c>
      <c r="F58" t="s">
        <v>31</v>
      </c>
      <c r="G58">
        <v>12279</v>
      </c>
      <c r="H58" t="s">
        <v>20</v>
      </c>
      <c r="I58" t="s">
        <v>24</v>
      </c>
      <c r="J58" t="s">
        <v>21</v>
      </c>
      <c r="K58" t="s">
        <v>21</v>
      </c>
      <c r="L58" t="s">
        <v>24</v>
      </c>
      <c r="M58">
        <v>1.1000000000000001</v>
      </c>
      <c r="N58">
        <v>498</v>
      </c>
      <c r="O58">
        <v>3.8</v>
      </c>
      <c r="P58">
        <v>88</v>
      </c>
      <c r="Q58">
        <v>95.46</v>
      </c>
      <c r="R58">
        <v>319</v>
      </c>
      <c r="S58">
        <v>365</v>
      </c>
      <c r="T58">
        <v>10.6</v>
      </c>
      <c r="U58">
        <v>2</v>
      </c>
    </row>
    <row r="59" spans="4:21" x14ac:dyDescent="0.3">
      <c r="D59">
        <v>3282</v>
      </c>
      <c r="E59" t="s">
        <v>18</v>
      </c>
      <c r="F59" t="s">
        <v>19</v>
      </c>
      <c r="G59">
        <v>19567</v>
      </c>
      <c r="H59" t="s">
        <v>20</v>
      </c>
      <c r="I59" t="s">
        <v>24</v>
      </c>
      <c r="J59" t="s">
        <v>21</v>
      </c>
      <c r="K59" t="s">
        <v>24</v>
      </c>
      <c r="L59" t="s">
        <v>27</v>
      </c>
      <c r="M59">
        <v>2.2999999999999998</v>
      </c>
      <c r="N59">
        <v>260</v>
      </c>
      <c r="O59">
        <v>3.18</v>
      </c>
      <c r="P59">
        <v>231</v>
      </c>
      <c r="Q59">
        <v>105.78</v>
      </c>
      <c r="R59">
        <v>94</v>
      </c>
      <c r="S59">
        <v>216</v>
      </c>
      <c r="T59">
        <v>12.4</v>
      </c>
      <c r="U59">
        <v>3</v>
      </c>
    </row>
    <row r="60" spans="4:21" x14ac:dyDescent="0.3">
      <c r="D60">
        <v>4459</v>
      </c>
      <c r="E60" t="s">
        <v>23</v>
      </c>
      <c r="F60" t="s">
        <v>19</v>
      </c>
      <c r="G60">
        <v>16279</v>
      </c>
      <c r="H60" t="s">
        <v>26</v>
      </c>
      <c r="I60" t="s">
        <v>24</v>
      </c>
      <c r="J60" t="s">
        <v>24</v>
      </c>
      <c r="K60" t="s">
        <v>24</v>
      </c>
      <c r="L60" t="s">
        <v>24</v>
      </c>
      <c r="M60">
        <v>0.7</v>
      </c>
      <c r="N60">
        <v>242</v>
      </c>
      <c r="O60">
        <v>4.08</v>
      </c>
      <c r="P60">
        <v>73</v>
      </c>
      <c r="Q60">
        <v>56.76</v>
      </c>
      <c r="R60">
        <v>118</v>
      </c>
      <c r="S60" s="10">
        <v>262</v>
      </c>
      <c r="T60">
        <v>10.6</v>
      </c>
      <c r="U60">
        <v>1</v>
      </c>
    </row>
    <row r="61" spans="4:21" x14ac:dyDescent="0.3">
      <c r="D61">
        <v>2224</v>
      </c>
      <c r="E61" t="s">
        <v>18</v>
      </c>
      <c r="F61" t="s">
        <v>19</v>
      </c>
      <c r="G61">
        <v>14754</v>
      </c>
      <c r="H61" t="s">
        <v>20</v>
      </c>
      <c r="I61" t="s">
        <v>24</v>
      </c>
      <c r="J61" t="s">
        <v>21</v>
      </c>
      <c r="K61" t="s">
        <v>21</v>
      </c>
      <c r="L61" t="s">
        <v>24</v>
      </c>
      <c r="M61">
        <v>0.8</v>
      </c>
      <c r="N61">
        <v>329</v>
      </c>
      <c r="O61">
        <v>3.5</v>
      </c>
      <c r="P61">
        <v>49</v>
      </c>
      <c r="Q61">
        <v>126.42</v>
      </c>
      <c r="R61">
        <v>124</v>
      </c>
      <c r="S61">
        <v>321</v>
      </c>
      <c r="T61">
        <v>10.6</v>
      </c>
      <c r="U61">
        <v>3</v>
      </c>
    </row>
    <row r="62" spans="4:21" x14ac:dyDescent="0.3">
      <c r="D62">
        <v>4365</v>
      </c>
      <c r="E62" t="s">
        <v>23</v>
      </c>
      <c r="F62" t="s">
        <v>19</v>
      </c>
      <c r="G62">
        <v>21324</v>
      </c>
      <c r="H62" t="s">
        <v>20</v>
      </c>
      <c r="I62" t="s">
        <v>24</v>
      </c>
      <c r="J62" t="s">
        <v>24</v>
      </c>
      <c r="K62" t="s">
        <v>24</v>
      </c>
      <c r="L62" t="s">
        <v>24</v>
      </c>
      <c r="M62">
        <v>0.9</v>
      </c>
      <c r="N62">
        <v>604</v>
      </c>
      <c r="O62">
        <v>3.4</v>
      </c>
      <c r="P62">
        <v>82</v>
      </c>
      <c r="Q62">
        <v>71.3</v>
      </c>
      <c r="R62">
        <v>58</v>
      </c>
      <c r="S62">
        <v>228</v>
      </c>
      <c r="T62">
        <v>10.3</v>
      </c>
      <c r="U62">
        <v>3</v>
      </c>
    </row>
    <row r="63" spans="4:21" x14ac:dyDescent="0.3">
      <c r="D63">
        <v>4256</v>
      </c>
      <c r="E63" t="s">
        <v>23</v>
      </c>
      <c r="F63" t="s">
        <v>31</v>
      </c>
      <c r="G63">
        <v>16034</v>
      </c>
      <c r="H63" t="s">
        <v>26</v>
      </c>
      <c r="I63" t="s">
        <v>24</v>
      </c>
      <c r="J63" t="s">
        <v>24</v>
      </c>
      <c r="K63" t="s">
        <v>24</v>
      </c>
      <c r="L63" t="s">
        <v>24</v>
      </c>
      <c r="M63">
        <v>0.6</v>
      </c>
      <c r="N63">
        <v>216</v>
      </c>
      <c r="O63">
        <v>3.94</v>
      </c>
      <c r="P63">
        <v>28</v>
      </c>
      <c r="Q63">
        <v>60.45</v>
      </c>
      <c r="R63">
        <v>188</v>
      </c>
      <c r="S63">
        <v>211</v>
      </c>
      <c r="T63">
        <v>13</v>
      </c>
      <c r="U63">
        <v>1</v>
      </c>
    </row>
    <row r="64" spans="4:21" x14ac:dyDescent="0.3">
      <c r="D64">
        <v>3090</v>
      </c>
      <c r="E64" t="s">
        <v>18</v>
      </c>
      <c r="F64" t="s">
        <v>31</v>
      </c>
      <c r="G64">
        <v>22173</v>
      </c>
      <c r="H64" t="s">
        <v>20</v>
      </c>
      <c r="I64" t="s">
        <v>21</v>
      </c>
      <c r="J64" t="s">
        <v>24</v>
      </c>
      <c r="K64" t="s">
        <v>24</v>
      </c>
      <c r="L64" t="s">
        <v>24</v>
      </c>
      <c r="M64">
        <v>1.3</v>
      </c>
      <c r="N64">
        <v>302</v>
      </c>
      <c r="O64">
        <v>2.75</v>
      </c>
      <c r="P64">
        <v>58</v>
      </c>
      <c r="Q64">
        <v>43.4</v>
      </c>
      <c r="R64">
        <v>112</v>
      </c>
      <c r="S64">
        <v>329</v>
      </c>
      <c r="T64">
        <v>13.2</v>
      </c>
      <c r="U64">
        <v>4</v>
      </c>
    </row>
    <row r="65" spans="4:21" x14ac:dyDescent="0.3">
      <c r="D65">
        <v>859</v>
      </c>
      <c r="E65" t="s">
        <v>18</v>
      </c>
      <c r="F65" t="s">
        <v>31</v>
      </c>
      <c r="G65">
        <v>17031</v>
      </c>
      <c r="H65" t="s">
        <v>20</v>
      </c>
      <c r="I65" t="s">
        <v>24</v>
      </c>
      <c r="J65" t="s">
        <v>24</v>
      </c>
      <c r="K65" t="s">
        <v>21</v>
      </c>
      <c r="L65" t="s">
        <v>21</v>
      </c>
      <c r="M65" s="19">
        <v>17.399999999999999</v>
      </c>
      <c r="N65">
        <v>932</v>
      </c>
      <c r="O65">
        <v>3.12</v>
      </c>
      <c r="P65">
        <v>95</v>
      </c>
      <c r="Q65">
        <v>244.9</v>
      </c>
      <c r="R65">
        <v>133</v>
      </c>
      <c r="S65">
        <v>165</v>
      </c>
      <c r="T65">
        <v>11.6</v>
      </c>
      <c r="U65">
        <v>3</v>
      </c>
    </row>
    <row r="66" spans="4:21" x14ac:dyDescent="0.3">
      <c r="D66">
        <v>1487</v>
      </c>
      <c r="E66" t="s">
        <v>18</v>
      </c>
      <c r="F66" t="s">
        <v>31</v>
      </c>
      <c r="G66">
        <v>22977</v>
      </c>
      <c r="H66" t="s">
        <v>20</v>
      </c>
      <c r="I66" t="s">
        <v>24</v>
      </c>
      <c r="J66" t="s">
        <v>21</v>
      </c>
      <c r="K66" t="s">
        <v>24</v>
      </c>
      <c r="L66" t="s">
        <v>24</v>
      </c>
      <c r="M66">
        <v>2.1</v>
      </c>
      <c r="N66">
        <v>373</v>
      </c>
      <c r="O66">
        <v>3.5</v>
      </c>
      <c r="P66">
        <v>52</v>
      </c>
      <c r="Q66">
        <v>150.35</v>
      </c>
      <c r="R66">
        <v>188</v>
      </c>
      <c r="S66">
        <v>178</v>
      </c>
      <c r="T66">
        <v>11</v>
      </c>
      <c r="U66">
        <v>3</v>
      </c>
    </row>
    <row r="67" spans="4:21" x14ac:dyDescent="0.3">
      <c r="D67">
        <v>3992</v>
      </c>
      <c r="E67" t="s">
        <v>23</v>
      </c>
      <c r="F67" t="s">
        <v>19</v>
      </c>
      <c r="G67">
        <v>14684</v>
      </c>
      <c r="H67" t="s">
        <v>20</v>
      </c>
      <c r="I67" t="s">
        <v>24</v>
      </c>
      <c r="J67" t="s">
        <v>24</v>
      </c>
      <c r="K67" t="s">
        <v>24</v>
      </c>
      <c r="L67" t="s">
        <v>24</v>
      </c>
      <c r="M67">
        <v>1.2</v>
      </c>
      <c r="N67">
        <v>256</v>
      </c>
      <c r="O67">
        <v>3.6</v>
      </c>
      <c r="P67">
        <v>74</v>
      </c>
      <c r="Q67">
        <v>141.05000000000001</v>
      </c>
      <c r="R67">
        <v>108</v>
      </c>
      <c r="S67">
        <v>430</v>
      </c>
      <c r="T67">
        <v>10</v>
      </c>
      <c r="U67">
        <v>1</v>
      </c>
    </row>
    <row r="68" spans="4:21" x14ac:dyDescent="0.3">
      <c r="D68">
        <v>4191</v>
      </c>
      <c r="E68" t="s">
        <v>18</v>
      </c>
      <c r="F68" t="s">
        <v>19</v>
      </c>
      <c r="G68">
        <v>16967</v>
      </c>
      <c r="H68" t="s">
        <v>26</v>
      </c>
      <c r="I68" t="s">
        <v>24</v>
      </c>
      <c r="J68" t="s">
        <v>21</v>
      </c>
      <c r="K68" t="s">
        <v>24</v>
      </c>
      <c r="L68" t="s">
        <v>24</v>
      </c>
      <c r="M68">
        <v>1.4</v>
      </c>
      <c r="N68">
        <v>427</v>
      </c>
      <c r="O68">
        <v>3.7</v>
      </c>
      <c r="P68">
        <v>105</v>
      </c>
      <c r="Q68">
        <v>182.9</v>
      </c>
      <c r="R68">
        <v>171</v>
      </c>
      <c r="S68">
        <v>123</v>
      </c>
      <c r="T68">
        <v>11</v>
      </c>
      <c r="U68">
        <v>3</v>
      </c>
    </row>
    <row r="69" spans="4:21" x14ac:dyDescent="0.3">
      <c r="D69">
        <v>2769</v>
      </c>
      <c r="E69" t="s">
        <v>18</v>
      </c>
      <c r="F69" t="s">
        <v>31</v>
      </c>
      <c r="G69">
        <v>18733</v>
      </c>
      <c r="H69" t="s">
        <v>20</v>
      </c>
      <c r="I69" t="s">
        <v>24</v>
      </c>
      <c r="J69" t="s">
        <v>24</v>
      </c>
      <c r="K69" t="s">
        <v>24</v>
      </c>
      <c r="L69" t="s">
        <v>24</v>
      </c>
      <c r="M69">
        <v>1.1000000000000001</v>
      </c>
      <c r="N69">
        <v>466</v>
      </c>
      <c r="O69">
        <v>3.91</v>
      </c>
      <c r="P69">
        <v>84</v>
      </c>
      <c r="Q69" s="19">
        <v>246.45</v>
      </c>
      <c r="R69">
        <v>185</v>
      </c>
      <c r="S69">
        <v>261</v>
      </c>
      <c r="T69">
        <v>10</v>
      </c>
      <c r="U69">
        <v>3</v>
      </c>
    </row>
    <row r="70" spans="4:21" x14ac:dyDescent="0.3">
      <c r="D70">
        <v>4039</v>
      </c>
      <c r="E70" t="s">
        <v>23</v>
      </c>
      <c r="F70" t="s">
        <v>19</v>
      </c>
      <c r="G70">
        <v>11912</v>
      </c>
      <c r="H70" t="s">
        <v>20</v>
      </c>
      <c r="I70" t="s">
        <v>24</v>
      </c>
      <c r="J70" t="s">
        <v>24</v>
      </c>
      <c r="K70" t="s">
        <v>24</v>
      </c>
      <c r="L70" t="s">
        <v>24</v>
      </c>
      <c r="M70">
        <v>0.7</v>
      </c>
      <c r="N70">
        <v>174</v>
      </c>
      <c r="O70">
        <v>4.09</v>
      </c>
      <c r="P70">
        <v>58</v>
      </c>
      <c r="Q70">
        <v>71.3</v>
      </c>
      <c r="R70">
        <v>46</v>
      </c>
      <c r="S70">
        <v>203</v>
      </c>
      <c r="T70">
        <v>10.6</v>
      </c>
      <c r="U70">
        <v>3</v>
      </c>
    </row>
    <row r="71" spans="4:21" x14ac:dyDescent="0.3">
      <c r="D71">
        <v>1170</v>
      </c>
      <c r="E71" t="s">
        <v>18</v>
      </c>
      <c r="F71" t="s">
        <v>19</v>
      </c>
      <c r="G71">
        <v>18021</v>
      </c>
      <c r="H71" t="s">
        <v>20</v>
      </c>
      <c r="I71" t="s">
        <v>24</v>
      </c>
      <c r="J71" t="s">
        <v>21</v>
      </c>
      <c r="K71" t="s">
        <v>21</v>
      </c>
      <c r="L71" t="s">
        <v>27</v>
      </c>
      <c r="M71">
        <v>20</v>
      </c>
      <c r="N71">
        <v>652</v>
      </c>
      <c r="O71">
        <v>3.46</v>
      </c>
      <c r="P71">
        <v>159</v>
      </c>
      <c r="Q71">
        <v>215.45</v>
      </c>
      <c r="R71">
        <v>184</v>
      </c>
      <c r="S71">
        <v>227</v>
      </c>
      <c r="T71">
        <v>12.4</v>
      </c>
      <c r="U71">
        <v>3</v>
      </c>
    </row>
    <row r="72" spans="4:21" x14ac:dyDescent="0.3">
      <c r="D72">
        <v>3458</v>
      </c>
      <c r="E72" t="s">
        <v>23</v>
      </c>
      <c r="F72" t="s">
        <v>19</v>
      </c>
      <c r="G72">
        <v>20600</v>
      </c>
      <c r="H72" t="s">
        <v>20</v>
      </c>
      <c r="I72" t="s">
        <v>24</v>
      </c>
      <c r="J72" t="s">
        <v>24</v>
      </c>
      <c r="K72" t="s">
        <v>24</v>
      </c>
      <c r="L72" t="s">
        <v>24</v>
      </c>
      <c r="M72">
        <v>0.6</v>
      </c>
      <c r="N72" s="10">
        <v>371</v>
      </c>
      <c r="O72">
        <v>4.6399999999999997</v>
      </c>
      <c r="P72">
        <v>20</v>
      </c>
      <c r="Q72">
        <v>54.25</v>
      </c>
      <c r="R72" s="10">
        <v>123</v>
      </c>
      <c r="S72">
        <v>265</v>
      </c>
      <c r="T72">
        <v>10.6</v>
      </c>
      <c r="U72">
        <v>2</v>
      </c>
    </row>
    <row r="73" spans="4:21" x14ac:dyDescent="0.3">
      <c r="D73">
        <v>4196</v>
      </c>
      <c r="E73" t="s">
        <v>23</v>
      </c>
      <c r="F73" t="s">
        <v>31</v>
      </c>
      <c r="G73">
        <v>17841</v>
      </c>
      <c r="H73" t="s">
        <v>20</v>
      </c>
      <c r="I73" t="s">
        <v>24</v>
      </c>
      <c r="J73" t="s">
        <v>21</v>
      </c>
      <c r="K73" t="s">
        <v>24</v>
      </c>
      <c r="L73" t="s">
        <v>24</v>
      </c>
      <c r="M73">
        <v>1.2</v>
      </c>
      <c r="N73">
        <v>258</v>
      </c>
      <c r="O73">
        <v>3.57</v>
      </c>
      <c r="P73">
        <v>79</v>
      </c>
      <c r="Q73">
        <v>120.9</v>
      </c>
      <c r="R73">
        <v>76</v>
      </c>
      <c r="S73">
        <v>410</v>
      </c>
      <c r="T73">
        <v>11.5</v>
      </c>
      <c r="U73">
        <v>4</v>
      </c>
    </row>
    <row r="74" spans="4:21" x14ac:dyDescent="0.3">
      <c r="D74">
        <v>4184</v>
      </c>
      <c r="E74" t="s">
        <v>23</v>
      </c>
      <c r="F74" t="s">
        <v>31</v>
      </c>
      <c r="G74">
        <v>11868</v>
      </c>
      <c r="H74" t="s">
        <v>20</v>
      </c>
      <c r="I74" t="s">
        <v>24</v>
      </c>
      <c r="J74" t="s">
        <v>24</v>
      </c>
      <c r="K74" t="s">
        <v>24</v>
      </c>
      <c r="L74" t="s">
        <v>24</v>
      </c>
      <c r="M74">
        <v>0.5</v>
      </c>
      <c r="N74">
        <v>320</v>
      </c>
      <c r="O74">
        <v>3.54</v>
      </c>
      <c r="P74">
        <v>51</v>
      </c>
      <c r="Q74">
        <v>122.45</v>
      </c>
      <c r="R74">
        <v>80</v>
      </c>
      <c r="S74">
        <v>225</v>
      </c>
      <c r="T74">
        <v>10</v>
      </c>
      <c r="U74">
        <v>3</v>
      </c>
    </row>
    <row r="75" spans="4:21" x14ac:dyDescent="0.3">
      <c r="D75">
        <v>4190</v>
      </c>
      <c r="E75" t="s">
        <v>23</v>
      </c>
      <c r="F75" t="s">
        <v>31</v>
      </c>
      <c r="G75">
        <v>14060</v>
      </c>
      <c r="H75" t="s">
        <v>20</v>
      </c>
      <c r="I75" t="s">
        <v>24</v>
      </c>
      <c r="J75" t="s">
        <v>24</v>
      </c>
      <c r="K75" t="s">
        <v>24</v>
      </c>
      <c r="L75" t="s">
        <v>24</v>
      </c>
      <c r="M75">
        <v>0.7</v>
      </c>
      <c r="N75">
        <v>132</v>
      </c>
      <c r="O75">
        <v>3.6</v>
      </c>
      <c r="P75">
        <v>17</v>
      </c>
      <c r="Q75">
        <v>49.6</v>
      </c>
      <c r="R75">
        <v>56</v>
      </c>
      <c r="S75">
        <v>265</v>
      </c>
      <c r="T75">
        <v>11</v>
      </c>
      <c r="U75">
        <v>1</v>
      </c>
    </row>
    <row r="76" spans="4:21" x14ac:dyDescent="0.3">
      <c r="D76">
        <v>1827</v>
      </c>
      <c r="E76" t="s">
        <v>18</v>
      </c>
      <c r="F76" t="s">
        <v>19</v>
      </c>
      <c r="G76">
        <v>18964</v>
      </c>
      <c r="H76" t="s">
        <v>20</v>
      </c>
      <c r="I76" t="s">
        <v>24</v>
      </c>
      <c r="J76" t="s">
        <v>21</v>
      </c>
      <c r="K76" t="s">
        <v>21</v>
      </c>
      <c r="L76" t="s">
        <v>24</v>
      </c>
      <c r="M76">
        <v>8.4</v>
      </c>
      <c r="N76">
        <v>558</v>
      </c>
      <c r="O76">
        <v>3.99</v>
      </c>
      <c r="P76">
        <v>280</v>
      </c>
      <c r="Q76">
        <v>89.9</v>
      </c>
      <c r="R76">
        <v>309</v>
      </c>
      <c r="S76">
        <v>278</v>
      </c>
      <c r="T76">
        <v>11</v>
      </c>
      <c r="U76">
        <v>4</v>
      </c>
    </row>
    <row r="77" spans="4:21" x14ac:dyDescent="0.3">
      <c r="D77">
        <v>1191</v>
      </c>
      <c r="E77" t="s">
        <v>18</v>
      </c>
      <c r="F77" t="s">
        <v>19</v>
      </c>
      <c r="G77">
        <v>15895</v>
      </c>
      <c r="H77" t="s">
        <v>20</v>
      </c>
      <c r="I77" t="s">
        <v>21</v>
      </c>
      <c r="J77" t="s">
        <v>21</v>
      </c>
      <c r="K77" t="s">
        <v>21</v>
      </c>
      <c r="L77" t="s">
        <v>27</v>
      </c>
      <c r="M77">
        <v>17.100000000000001</v>
      </c>
      <c r="N77">
        <v>674</v>
      </c>
      <c r="O77">
        <v>2.5299999999999998</v>
      </c>
      <c r="P77">
        <v>207</v>
      </c>
      <c r="Q77">
        <v>182.9</v>
      </c>
      <c r="R77" s="19">
        <v>319</v>
      </c>
      <c r="S77">
        <v>268</v>
      </c>
      <c r="T77">
        <v>11.5</v>
      </c>
      <c r="U77">
        <v>4</v>
      </c>
    </row>
    <row r="78" spans="4:21" x14ac:dyDescent="0.3">
      <c r="D78">
        <v>71</v>
      </c>
      <c r="E78" t="s">
        <v>18</v>
      </c>
      <c r="F78" t="s">
        <v>19</v>
      </c>
      <c r="G78">
        <v>18972</v>
      </c>
      <c r="H78" t="s">
        <v>20</v>
      </c>
      <c r="I78" t="s">
        <v>24</v>
      </c>
      <c r="J78" t="s">
        <v>21</v>
      </c>
      <c r="K78" t="s">
        <v>21</v>
      </c>
      <c r="L78" t="s">
        <v>27</v>
      </c>
      <c r="M78">
        <v>12.2</v>
      </c>
      <c r="N78">
        <v>394</v>
      </c>
      <c r="O78">
        <v>3.08</v>
      </c>
      <c r="P78">
        <v>111</v>
      </c>
      <c r="Q78">
        <v>155</v>
      </c>
      <c r="R78">
        <v>243</v>
      </c>
      <c r="S78">
        <v>165</v>
      </c>
      <c r="T78">
        <v>11.6</v>
      </c>
      <c r="U78">
        <v>4</v>
      </c>
    </row>
    <row r="79" spans="4:21" x14ac:dyDescent="0.3">
      <c r="D79">
        <v>326</v>
      </c>
      <c r="E79" t="s">
        <v>18</v>
      </c>
      <c r="F79" t="s">
        <v>31</v>
      </c>
      <c r="G79">
        <v>18199</v>
      </c>
      <c r="H79" t="s">
        <v>20</v>
      </c>
      <c r="I79" t="s">
        <v>24</v>
      </c>
      <c r="J79" t="s">
        <v>21</v>
      </c>
      <c r="K79" t="s">
        <v>21</v>
      </c>
      <c r="L79" t="s">
        <v>27</v>
      </c>
      <c r="M79">
        <v>6.6</v>
      </c>
      <c r="N79">
        <v>244</v>
      </c>
      <c r="O79">
        <v>3.41</v>
      </c>
      <c r="P79">
        <v>199</v>
      </c>
      <c r="Q79">
        <v>170.5</v>
      </c>
      <c r="R79">
        <v>91</v>
      </c>
      <c r="S79">
        <v>132</v>
      </c>
      <c r="T79">
        <v>12.1</v>
      </c>
      <c r="U79">
        <v>3</v>
      </c>
    </row>
    <row r="80" spans="4:21" x14ac:dyDescent="0.3">
      <c r="D80">
        <v>1690</v>
      </c>
      <c r="E80" t="s">
        <v>18</v>
      </c>
      <c r="F80" t="s">
        <v>19</v>
      </c>
      <c r="G80">
        <v>17512</v>
      </c>
      <c r="H80" t="s">
        <v>20</v>
      </c>
      <c r="I80" t="s">
        <v>24</v>
      </c>
      <c r="J80" t="s">
        <v>21</v>
      </c>
      <c r="K80" t="s">
        <v>24</v>
      </c>
      <c r="L80" t="s">
        <v>24</v>
      </c>
      <c r="M80">
        <v>6.3</v>
      </c>
      <c r="N80">
        <v>436</v>
      </c>
      <c r="O80">
        <v>3.02</v>
      </c>
      <c r="P80">
        <v>75</v>
      </c>
      <c r="Q80">
        <v>170.5</v>
      </c>
      <c r="R80">
        <v>104</v>
      </c>
      <c r="S80">
        <v>236</v>
      </c>
      <c r="T80">
        <v>10.6</v>
      </c>
      <c r="U80">
        <v>4</v>
      </c>
    </row>
    <row r="81" spans="4:21" x14ac:dyDescent="0.3">
      <c r="D81">
        <v>3707</v>
      </c>
      <c r="E81" t="s">
        <v>23</v>
      </c>
      <c r="F81" t="s">
        <v>19</v>
      </c>
      <c r="G81">
        <v>16990</v>
      </c>
      <c r="H81" t="s">
        <v>20</v>
      </c>
      <c r="I81" t="s">
        <v>24</v>
      </c>
      <c r="J81" t="s">
        <v>21</v>
      </c>
      <c r="K81" t="s">
        <v>24</v>
      </c>
      <c r="L81" t="s">
        <v>24</v>
      </c>
      <c r="M81">
        <v>0.8</v>
      </c>
      <c r="N81">
        <v>315</v>
      </c>
      <c r="O81">
        <v>4.24</v>
      </c>
      <c r="P81">
        <v>13</v>
      </c>
      <c r="Q81">
        <v>170.5</v>
      </c>
      <c r="R81">
        <v>70</v>
      </c>
      <c r="S81">
        <v>426</v>
      </c>
      <c r="T81">
        <v>10.9</v>
      </c>
      <c r="U81">
        <v>3</v>
      </c>
    </row>
    <row r="82" spans="4:21" x14ac:dyDescent="0.3">
      <c r="D82">
        <v>890</v>
      </c>
      <c r="E82" t="s">
        <v>18</v>
      </c>
      <c r="F82" t="s">
        <v>31</v>
      </c>
      <c r="G82">
        <v>24622</v>
      </c>
      <c r="H82" t="s">
        <v>26</v>
      </c>
      <c r="I82" t="s">
        <v>24</v>
      </c>
      <c r="J82" t="s">
        <v>21</v>
      </c>
      <c r="K82" t="s">
        <v>24</v>
      </c>
      <c r="L82" t="s">
        <v>24</v>
      </c>
      <c r="M82">
        <v>7.2</v>
      </c>
      <c r="N82">
        <v>247</v>
      </c>
      <c r="O82">
        <v>3.72</v>
      </c>
      <c r="P82">
        <v>269</v>
      </c>
      <c r="Q82">
        <v>176.7</v>
      </c>
      <c r="R82">
        <v>91</v>
      </c>
      <c r="S82">
        <v>360</v>
      </c>
      <c r="T82">
        <v>11.2</v>
      </c>
      <c r="U82">
        <v>4</v>
      </c>
    </row>
    <row r="83" spans="4:21" x14ac:dyDescent="0.3">
      <c r="D83">
        <v>2540</v>
      </c>
      <c r="E83" t="s">
        <v>18</v>
      </c>
      <c r="F83" t="s">
        <v>19</v>
      </c>
      <c r="G83">
        <v>23107</v>
      </c>
      <c r="H83" t="s">
        <v>20</v>
      </c>
      <c r="I83" t="s">
        <v>24</v>
      </c>
      <c r="J83" t="s">
        <v>21</v>
      </c>
      <c r="K83" t="s">
        <v>21</v>
      </c>
      <c r="L83" t="s">
        <v>24</v>
      </c>
      <c r="M83">
        <v>14.4</v>
      </c>
      <c r="N83">
        <v>448</v>
      </c>
      <c r="O83">
        <v>3.65</v>
      </c>
      <c r="P83">
        <v>34</v>
      </c>
      <c r="Q83">
        <v>60.45</v>
      </c>
      <c r="R83">
        <v>318</v>
      </c>
      <c r="S83">
        <v>385</v>
      </c>
      <c r="T83">
        <v>11.7</v>
      </c>
      <c r="U83">
        <v>4</v>
      </c>
    </row>
    <row r="84" spans="4:21" x14ac:dyDescent="0.3">
      <c r="D84">
        <v>3574</v>
      </c>
      <c r="E84" t="s">
        <v>18</v>
      </c>
      <c r="F84" t="s">
        <v>19</v>
      </c>
      <c r="G84">
        <v>24585</v>
      </c>
      <c r="H84" t="s">
        <v>20</v>
      </c>
      <c r="I84" t="s">
        <v>24</v>
      </c>
      <c r="J84" t="s">
        <v>24</v>
      </c>
      <c r="K84" t="s">
        <v>24</v>
      </c>
      <c r="L84" t="s">
        <v>24</v>
      </c>
      <c r="M84">
        <v>4.5</v>
      </c>
      <c r="N84">
        <v>472</v>
      </c>
      <c r="O84">
        <v>4.09</v>
      </c>
      <c r="P84">
        <v>154</v>
      </c>
      <c r="Q84">
        <v>117.8</v>
      </c>
      <c r="R84">
        <v>272</v>
      </c>
      <c r="S84">
        <v>412</v>
      </c>
      <c r="T84">
        <v>11.1</v>
      </c>
      <c r="U84">
        <v>3</v>
      </c>
    </row>
    <row r="85" spans="4:21" x14ac:dyDescent="0.3">
      <c r="D85">
        <v>4050</v>
      </c>
      <c r="E85" t="s">
        <v>23</v>
      </c>
      <c r="F85" t="s">
        <v>19</v>
      </c>
      <c r="G85">
        <v>20459</v>
      </c>
      <c r="H85" t="s">
        <v>20</v>
      </c>
      <c r="I85" t="s">
        <v>24</v>
      </c>
      <c r="J85" t="s">
        <v>21</v>
      </c>
      <c r="K85" t="s">
        <v>24</v>
      </c>
      <c r="L85" t="s">
        <v>27</v>
      </c>
      <c r="M85">
        <v>1.3</v>
      </c>
      <c r="N85">
        <v>250</v>
      </c>
      <c r="O85">
        <v>3.5</v>
      </c>
      <c r="P85">
        <v>48</v>
      </c>
      <c r="Q85">
        <v>71.3</v>
      </c>
      <c r="R85">
        <v>100</v>
      </c>
      <c r="S85">
        <v>81</v>
      </c>
      <c r="T85">
        <v>12.9</v>
      </c>
      <c r="U85">
        <v>4</v>
      </c>
    </row>
    <row r="86" spans="4:21" x14ac:dyDescent="0.3">
      <c r="D86">
        <v>4032</v>
      </c>
      <c r="E86" t="s">
        <v>23</v>
      </c>
      <c r="F86" t="s">
        <v>31</v>
      </c>
      <c r="G86">
        <v>20392</v>
      </c>
      <c r="H86" t="s">
        <v>20</v>
      </c>
      <c r="I86" t="s">
        <v>24</v>
      </c>
      <c r="J86" t="s">
        <v>24</v>
      </c>
      <c r="K86" t="s">
        <v>24</v>
      </c>
      <c r="L86" t="s">
        <v>24</v>
      </c>
      <c r="M86">
        <v>0.4</v>
      </c>
      <c r="N86">
        <v>263</v>
      </c>
      <c r="O86">
        <v>3.76</v>
      </c>
      <c r="P86">
        <v>29</v>
      </c>
      <c r="Q86">
        <v>137.94999999999999</v>
      </c>
      <c r="R86">
        <v>74</v>
      </c>
      <c r="S86">
        <v>181</v>
      </c>
      <c r="T86">
        <v>11.2</v>
      </c>
      <c r="U86">
        <v>3</v>
      </c>
    </row>
    <row r="87" spans="4:21" x14ac:dyDescent="0.3">
      <c r="D87">
        <v>3358</v>
      </c>
      <c r="E87" t="s">
        <v>18</v>
      </c>
      <c r="F87" t="s">
        <v>31</v>
      </c>
      <c r="G87">
        <v>17246</v>
      </c>
      <c r="H87" t="s">
        <v>20</v>
      </c>
      <c r="I87" t="s">
        <v>24</v>
      </c>
      <c r="J87" t="s">
        <v>21</v>
      </c>
      <c r="K87" t="s">
        <v>24</v>
      </c>
      <c r="L87" t="s">
        <v>24</v>
      </c>
      <c r="M87">
        <v>2.1</v>
      </c>
      <c r="N87">
        <v>262</v>
      </c>
      <c r="O87">
        <v>3.48</v>
      </c>
      <c r="P87">
        <v>58</v>
      </c>
      <c r="Q87">
        <v>89.9</v>
      </c>
      <c r="R87">
        <v>84</v>
      </c>
      <c r="S87">
        <v>225</v>
      </c>
      <c r="T87">
        <v>11.5</v>
      </c>
      <c r="U87">
        <v>4</v>
      </c>
    </row>
    <row r="88" spans="4:21" x14ac:dyDescent="0.3">
      <c r="D88">
        <v>1657</v>
      </c>
      <c r="E88" t="s">
        <v>18</v>
      </c>
      <c r="F88" t="s">
        <v>19</v>
      </c>
      <c r="G88">
        <v>19270</v>
      </c>
      <c r="H88" t="s">
        <v>20</v>
      </c>
      <c r="I88" t="s">
        <v>24</v>
      </c>
      <c r="J88" t="s">
        <v>21</v>
      </c>
      <c r="K88" t="s">
        <v>21</v>
      </c>
      <c r="L88" t="s">
        <v>24</v>
      </c>
      <c r="M88">
        <v>5</v>
      </c>
      <c r="N88">
        <v>1600</v>
      </c>
      <c r="O88">
        <v>3.21</v>
      </c>
      <c r="P88">
        <v>75</v>
      </c>
      <c r="Q88">
        <v>82.15</v>
      </c>
      <c r="R88">
        <v>174</v>
      </c>
      <c r="S88">
        <v>181</v>
      </c>
      <c r="T88">
        <v>10.9</v>
      </c>
      <c r="U88">
        <v>3</v>
      </c>
    </row>
    <row r="89" spans="4:21" x14ac:dyDescent="0.3">
      <c r="D89">
        <v>198</v>
      </c>
      <c r="E89" t="s">
        <v>18</v>
      </c>
      <c r="F89" t="s">
        <v>19</v>
      </c>
      <c r="G89">
        <v>13616</v>
      </c>
      <c r="H89" t="s">
        <v>20</v>
      </c>
      <c r="I89" t="s">
        <v>24</v>
      </c>
      <c r="J89" t="s">
        <v>24</v>
      </c>
      <c r="K89" t="s">
        <v>24</v>
      </c>
      <c r="L89" t="s">
        <v>24</v>
      </c>
      <c r="M89">
        <v>1.1000000000000001</v>
      </c>
      <c r="N89">
        <v>345</v>
      </c>
      <c r="O89">
        <v>4.4000000000000004</v>
      </c>
      <c r="P89">
        <v>75</v>
      </c>
      <c r="Q89">
        <v>218.55</v>
      </c>
      <c r="R89">
        <v>72</v>
      </c>
      <c r="S89">
        <v>447</v>
      </c>
      <c r="T89">
        <v>10.7</v>
      </c>
      <c r="U89">
        <v>3</v>
      </c>
    </row>
    <row r="90" spans="4:21" x14ac:dyDescent="0.3">
      <c r="D90">
        <v>2452</v>
      </c>
      <c r="E90" t="s">
        <v>23</v>
      </c>
      <c r="F90" t="s">
        <v>31</v>
      </c>
      <c r="G90">
        <v>15119</v>
      </c>
      <c r="H90" t="s">
        <v>20</v>
      </c>
      <c r="I90" t="s">
        <v>24</v>
      </c>
      <c r="J90" t="s">
        <v>24</v>
      </c>
      <c r="K90" t="s">
        <v>24</v>
      </c>
      <c r="L90" t="s">
        <v>27</v>
      </c>
      <c r="M90">
        <v>0.6</v>
      </c>
      <c r="N90">
        <v>296</v>
      </c>
      <c r="O90">
        <v>4.0599999999999996</v>
      </c>
      <c r="P90">
        <v>37</v>
      </c>
      <c r="Q90">
        <v>80.599999999999994</v>
      </c>
      <c r="R90">
        <v>83</v>
      </c>
      <c r="S90">
        <v>442</v>
      </c>
      <c r="T90">
        <v>12</v>
      </c>
      <c r="U90">
        <v>3</v>
      </c>
    </row>
    <row r="91" spans="4:21" x14ac:dyDescent="0.3">
      <c r="D91">
        <v>1741</v>
      </c>
      <c r="E91" t="s">
        <v>18</v>
      </c>
      <c r="F91" t="s">
        <v>19</v>
      </c>
      <c r="G91">
        <v>19155</v>
      </c>
      <c r="H91" t="s">
        <v>20</v>
      </c>
      <c r="I91" t="s">
        <v>24</v>
      </c>
      <c r="J91" t="s">
        <v>21</v>
      </c>
      <c r="K91" t="s">
        <v>24</v>
      </c>
      <c r="L91" t="s">
        <v>24</v>
      </c>
      <c r="M91">
        <v>2</v>
      </c>
      <c r="N91">
        <v>408</v>
      </c>
      <c r="O91">
        <v>3.65</v>
      </c>
      <c r="P91">
        <v>50</v>
      </c>
      <c r="Q91">
        <v>110.05</v>
      </c>
      <c r="R91">
        <v>98</v>
      </c>
      <c r="S91">
        <v>200</v>
      </c>
      <c r="T91">
        <v>11.4</v>
      </c>
      <c r="U91">
        <v>2</v>
      </c>
    </row>
    <row r="92" spans="4:21" x14ac:dyDescent="0.3">
      <c r="D92">
        <v>2689</v>
      </c>
      <c r="E92" t="s">
        <v>18</v>
      </c>
      <c r="F92" t="s">
        <v>19</v>
      </c>
      <c r="G92">
        <v>12227</v>
      </c>
      <c r="H92" t="s">
        <v>26</v>
      </c>
      <c r="I92" t="s">
        <v>24</v>
      </c>
      <c r="J92" t="s">
        <v>24</v>
      </c>
      <c r="K92" t="s">
        <v>24</v>
      </c>
      <c r="L92" t="s">
        <v>24</v>
      </c>
      <c r="M92">
        <v>1.6</v>
      </c>
      <c r="N92">
        <v>660</v>
      </c>
      <c r="O92">
        <v>4.22</v>
      </c>
      <c r="P92">
        <v>94</v>
      </c>
      <c r="Q92">
        <v>151.9</v>
      </c>
      <c r="R92">
        <v>155</v>
      </c>
      <c r="S92">
        <v>337</v>
      </c>
      <c r="T92">
        <v>11</v>
      </c>
      <c r="U92">
        <v>2</v>
      </c>
    </row>
    <row r="93" spans="4:21" x14ac:dyDescent="0.3">
      <c r="D93">
        <v>460</v>
      </c>
      <c r="E93" t="s">
        <v>18</v>
      </c>
      <c r="F93" t="s">
        <v>31</v>
      </c>
      <c r="G93">
        <v>16658</v>
      </c>
      <c r="H93" t="s">
        <v>20</v>
      </c>
      <c r="I93" t="s">
        <v>24</v>
      </c>
      <c r="J93" t="s">
        <v>21</v>
      </c>
      <c r="K93" t="s">
        <v>21</v>
      </c>
      <c r="L93" t="s">
        <v>27</v>
      </c>
      <c r="M93">
        <v>5</v>
      </c>
      <c r="N93">
        <v>325</v>
      </c>
      <c r="O93">
        <v>3.47</v>
      </c>
      <c r="P93">
        <v>110</v>
      </c>
      <c r="Q93">
        <v>246.45</v>
      </c>
      <c r="R93">
        <v>56</v>
      </c>
      <c r="S93">
        <v>430</v>
      </c>
      <c r="T93">
        <v>11.9</v>
      </c>
      <c r="U93">
        <v>4</v>
      </c>
    </row>
    <row r="94" spans="4:21" x14ac:dyDescent="0.3">
      <c r="D94">
        <v>388</v>
      </c>
      <c r="E94" t="s">
        <v>18</v>
      </c>
      <c r="F94" t="s">
        <v>19</v>
      </c>
      <c r="G94">
        <v>28018</v>
      </c>
      <c r="H94" t="s">
        <v>20</v>
      </c>
      <c r="I94" t="s">
        <v>21</v>
      </c>
      <c r="J94" t="s">
        <v>24</v>
      </c>
      <c r="K94" t="s">
        <v>24</v>
      </c>
      <c r="L94" t="s">
        <v>21</v>
      </c>
      <c r="M94">
        <v>1.4</v>
      </c>
      <c r="N94">
        <v>206</v>
      </c>
      <c r="O94">
        <v>3.13</v>
      </c>
      <c r="P94">
        <v>36</v>
      </c>
      <c r="Q94">
        <v>86.8</v>
      </c>
      <c r="R94">
        <v>70</v>
      </c>
      <c r="S94">
        <v>145</v>
      </c>
      <c r="T94">
        <v>12.2</v>
      </c>
      <c r="U94">
        <v>4</v>
      </c>
    </row>
    <row r="95" spans="4:21" x14ac:dyDescent="0.3">
      <c r="D95">
        <v>3913</v>
      </c>
      <c r="E95" t="s">
        <v>23</v>
      </c>
      <c r="F95" t="s">
        <v>19</v>
      </c>
      <c r="G95">
        <v>13344</v>
      </c>
      <c r="H95" t="s">
        <v>20</v>
      </c>
      <c r="I95" t="s">
        <v>24</v>
      </c>
      <c r="J95" t="s">
        <v>24</v>
      </c>
      <c r="K95" t="s">
        <v>24</v>
      </c>
      <c r="L95" t="s">
        <v>24</v>
      </c>
      <c r="M95">
        <v>1.3</v>
      </c>
      <c r="N95">
        <v>353</v>
      </c>
      <c r="O95">
        <v>3.67</v>
      </c>
      <c r="P95">
        <v>73</v>
      </c>
      <c r="Q95">
        <v>232.5</v>
      </c>
      <c r="R95">
        <v>68</v>
      </c>
      <c r="S95">
        <v>380</v>
      </c>
      <c r="T95">
        <v>11.1</v>
      </c>
      <c r="U95">
        <v>2</v>
      </c>
    </row>
    <row r="96" spans="4:21" x14ac:dyDescent="0.3">
      <c r="D96">
        <v>750</v>
      </c>
      <c r="E96" t="s">
        <v>18</v>
      </c>
      <c r="F96" t="s">
        <v>19</v>
      </c>
      <c r="G96">
        <v>19693</v>
      </c>
      <c r="H96" t="s">
        <v>20</v>
      </c>
      <c r="I96" t="s">
        <v>24</v>
      </c>
      <c r="J96" t="s">
        <v>21</v>
      </c>
      <c r="K96" t="s">
        <v>21</v>
      </c>
      <c r="L96" t="s">
        <v>24</v>
      </c>
      <c r="M96">
        <v>3.2</v>
      </c>
      <c r="N96">
        <v>201</v>
      </c>
      <c r="O96">
        <v>3.11</v>
      </c>
      <c r="P96">
        <v>178</v>
      </c>
      <c r="Q96">
        <v>159.65</v>
      </c>
      <c r="R96">
        <v>69</v>
      </c>
      <c r="S96">
        <v>188</v>
      </c>
      <c r="T96">
        <v>11.8</v>
      </c>
      <c r="U96">
        <v>4</v>
      </c>
    </row>
    <row r="97" spans="4:21" x14ac:dyDescent="0.3">
      <c r="D97">
        <v>130</v>
      </c>
      <c r="E97" t="s">
        <v>18</v>
      </c>
      <c r="F97" t="s">
        <v>31</v>
      </c>
      <c r="G97">
        <v>16944</v>
      </c>
      <c r="H97" t="s">
        <v>20</v>
      </c>
      <c r="I97" t="s">
        <v>21</v>
      </c>
      <c r="J97" t="s">
        <v>21</v>
      </c>
      <c r="K97" t="s">
        <v>21</v>
      </c>
      <c r="L97" t="s">
        <v>21</v>
      </c>
      <c r="M97">
        <v>17.399999999999999</v>
      </c>
      <c r="N97" s="10">
        <v>371</v>
      </c>
      <c r="O97">
        <v>2.64</v>
      </c>
      <c r="P97">
        <v>182</v>
      </c>
      <c r="Q97">
        <v>119.35</v>
      </c>
      <c r="R97" s="10">
        <v>123</v>
      </c>
      <c r="S97">
        <v>401</v>
      </c>
      <c r="T97">
        <v>11.7</v>
      </c>
      <c r="U97">
        <v>2</v>
      </c>
    </row>
    <row r="98" spans="4:21" x14ac:dyDescent="0.3">
      <c r="D98">
        <v>3850</v>
      </c>
      <c r="E98" t="s">
        <v>23</v>
      </c>
      <c r="F98" t="s">
        <v>19</v>
      </c>
      <c r="G98">
        <v>17841</v>
      </c>
      <c r="H98" t="s">
        <v>20</v>
      </c>
      <c r="I98" t="s">
        <v>24</v>
      </c>
      <c r="J98" t="s">
        <v>24</v>
      </c>
      <c r="K98" t="s">
        <v>24</v>
      </c>
      <c r="L98" t="s">
        <v>24</v>
      </c>
      <c r="M98">
        <v>1</v>
      </c>
      <c r="N98" s="10">
        <v>371</v>
      </c>
      <c r="O98">
        <v>3.7</v>
      </c>
      <c r="P98">
        <v>33</v>
      </c>
      <c r="Q98">
        <v>99.2</v>
      </c>
      <c r="R98" s="10">
        <v>123</v>
      </c>
      <c r="S98">
        <v>338</v>
      </c>
      <c r="T98">
        <v>10.4</v>
      </c>
      <c r="U98">
        <v>3</v>
      </c>
    </row>
    <row r="99" spans="4:21" x14ac:dyDescent="0.3">
      <c r="D99">
        <v>611</v>
      </c>
      <c r="E99" t="s">
        <v>18</v>
      </c>
      <c r="F99" t="s">
        <v>31</v>
      </c>
      <c r="G99">
        <v>26259</v>
      </c>
      <c r="H99" t="s">
        <v>26</v>
      </c>
      <c r="I99" t="s">
        <v>24</v>
      </c>
      <c r="J99" t="s">
        <v>21</v>
      </c>
      <c r="K99" t="s">
        <v>24</v>
      </c>
      <c r="L99" t="s">
        <v>27</v>
      </c>
      <c r="M99">
        <v>2</v>
      </c>
      <c r="N99">
        <v>420</v>
      </c>
      <c r="O99">
        <v>3.26</v>
      </c>
      <c r="P99">
        <v>62</v>
      </c>
      <c r="Q99">
        <v>77.5</v>
      </c>
      <c r="R99">
        <v>91</v>
      </c>
      <c r="S99">
        <v>344</v>
      </c>
      <c r="T99">
        <v>11.4</v>
      </c>
      <c r="U99">
        <v>3</v>
      </c>
    </row>
    <row r="100" spans="4:21" x14ac:dyDescent="0.3">
      <c r="D100">
        <v>3823</v>
      </c>
      <c r="E100" t="s">
        <v>23</v>
      </c>
      <c r="F100" t="s">
        <v>19</v>
      </c>
      <c r="G100">
        <v>10550</v>
      </c>
      <c r="H100" t="s">
        <v>20</v>
      </c>
      <c r="I100" t="s">
        <v>24</v>
      </c>
      <c r="J100" t="s">
        <v>24</v>
      </c>
      <c r="K100" t="s">
        <v>24</v>
      </c>
      <c r="L100" t="s">
        <v>24</v>
      </c>
      <c r="M100">
        <v>1</v>
      </c>
      <c r="N100">
        <v>239</v>
      </c>
      <c r="O100">
        <v>3.77</v>
      </c>
      <c r="P100">
        <v>77</v>
      </c>
      <c r="Q100">
        <v>97.65</v>
      </c>
      <c r="R100">
        <v>101</v>
      </c>
      <c r="S100">
        <v>312</v>
      </c>
      <c r="T100">
        <v>10.199999999999999</v>
      </c>
      <c r="U100">
        <v>1</v>
      </c>
    </row>
    <row r="101" spans="4:21" x14ac:dyDescent="0.3">
      <c r="D101">
        <v>3820</v>
      </c>
      <c r="E101" t="s">
        <v>23</v>
      </c>
      <c r="F101" t="s">
        <v>31</v>
      </c>
      <c r="G101">
        <v>17703</v>
      </c>
      <c r="H101" t="s">
        <v>26</v>
      </c>
      <c r="I101" t="s">
        <v>24</v>
      </c>
      <c r="J101" t="s">
        <v>24</v>
      </c>
      <c r="K101" t="s">
        <v>24</v>
      </c>
      <c r="L101" t="s">
        <v>24</v>
      </c>
      <c r="M101">
        <v>1.8</v>
      </c>
      <c r="N101">
        <v>460</v>
      </c>
      <c r="O101">
        <v>3.35</v>
      </c>
      <c r="P101">
        <v>148</v>
      </c>
      <c r="Q101">
        <v>108.5</v>
      </c>
      <c r="R101">
        <v>118</v>
      </c>
      <c r="S101">
        <v>172</v>
      </c>
      <c r="T101">
        <v>10.199999999999999</v>
      </c>
      <c r="U101">
        <v>2</v>
      </c>
    </row>
    <row r="102" spans="4:21" x14ac:dyDescent="0.3">
      <c r="D102">
        <v>552</v>
      </c>
      <c r="E102" t="s">
        <v>18</v>
      </c>
      <c r="F102" t="s">
        <v>31</v>
      </c>
      <c r="G102">
        <v>18799</v>
      </c>
      <c r="H102" t="s">
        <v>26</v>
      </c>
      <c r="I102" t="s">
        <v>24</v>
      </c>
      <c r="J102" t="s">
        <v>21</v>
      </c>
      <c r="K102" t="s">
        <v>24</v>
      </c>
      <c r="L102" t="s">
        <v>24</v>
      </c>
      <c r="M102">
        <v>2.2999999999999998</v>
      </c>
      <c r="N102">
        <v>178</v>
      </c>
      <c r="O102">
        <v>3</v>
      </c>
      <c r="P102">
        <v>145</v>
      </c>
      <c r="Q102">
        <v>178.25</v>
      </c>
      <c r="R102">
        <v>122</v>
      </c>
      <c r="S102">
        <v>119</v>
      </c>
      <c r="T102">
        <v>12</v>
      </c>
      <c r="U102">
        <v>4</v>
      </c>
    </row>
    <row r="103" spans="4:21" x14ac:dyDescent="0.3">
      <c r="D103">
        <v>3581</v>
      </c>
      <c r="E103" t="s">
        <v>23</v>
      </c>
      <c r="F103" t="s">
        <v>31</v>
      </c>
      <c r="G103">
        <v>16418</v>
      </c>
      <c r="H103" t="s">
        <v>20</v>
      </c>
      <c r="I103" t="s">
        <v>24</v>
      </c>
      <c r="J103" t="s">
        <v>24</v>
      </c>
      <c r="K103" t="s">
        <v>24</v>
      </c>
      <c r="L103" t="s">
        <v>24</v>
      </c>
      <c r="M103">
        <v>0.9</v>
      </c>
      <c r="N103">
        <v>400</v>
      </c>
      <c r="O103">
        <v>3.6</v>
      </c>
      <c r="P103">
        <v>31</v>
      </c>
      <c r="Q103">
        <v>164.3</v>
      </c>
      <c r="R103">
        <v>166</v>
      </c>
      <c r="S103">
        <v>327</v>
      </c>
      <c r="T103">
        <v>10.4</v>
      </c>
      <c r="U103">
        <v>3</v>
      </c>
    </row>
    <row r="104" spans="4:21" x14ac:dyDescent="0.3">
      <c r="D104">
        <v>3099</v>
      </c>
      <c r="E104" t="s">
        <v>23</v>
      </c>
      <c r="F104" t="s">
        <v>19</v>
      </c>
      <c r="G104">
        <v>20662</v>
      </c>
      <c r="H104" t="s">
        <v>20</v>
      </c>
      <c r="I104" t="s">
        <v>24</v>
      </c>
      <c r="J104" t="s">
        <v>24</v>
      </c>
      <c r="K104" t="s">
        <v>24</v>
      </c>
      <c r="L104" t="s">
        <v>24</v>
      </c>
      <c r="M104">
        <v>0.9</v>
      </c>
      <c r="N104">
        <v>248</v>
      </c>
      <c r="O104">
        <v>3.97</v>
      </c>
      <c r="P104">
        <v>172</v>
      </c>
      <c r="Q104">
        <v>62</v>
      </c>
      <c r="R104">
        <v>84</v>
      </c>
      <c r="S104">
        <v>128</v>
      </c>
      <c r="T104">
        <v>10.1</v>
      </c>
      <c r="U104">
        <v>1</v>
      </c>
    </row>
    <row r="105" spans="4:21" x14ac:dyDescent="0.3">
      <c r="D105">
        <v>110</v>
      </c>
      <c r="E105" t="s">
        <v>18</v>
      </c>
      <c r="F105" t="s">
        <v>31</v>
      </c>
      <c r="G105">
        <v>17884</v>
      </c>
      <c r="H105" t="s">
        <v>20</v>
      </c>
      <c r="I105" t="s">
        <v>21</v>
      </c>
      <c r="J105" t="s">
        <v>21</v>
      </c>
      <c r="K105" t="s">
        <v>21</v>
      </c>
      <c r="L105" t="s">
        <v>21</v>
      </c>
      <c r="M105">
        <v>2.5</v>
      </c>
      <c r="N105">
        <v>188</v>
      </c>
      <c r="O105">
        <v>3.67</v>
      </c>
      <c r="P105">
        <v>57</v>
      </c>
      <c r="Q105">
        <v>119.35</v>
      </c>
      <c r="R105">
        <v>102</v>
      </c>
      <c r="S105">
        <v>110</v>
      </c>
      <c r="T105">
        <v>11.1</v>
      </c>
      <c r="U105">
        <v>4</v>
      </c>
    </row>
    <row r="106" spans="4:21" x14ac:dyDescent="0.3">
      <c r="D106">
        <v>3086</v>
      </c>
      <c r="E106" t="s">
        <v>18</v>
      </c>
      <c r="F106" t="s">
        <v>19</v>
      </c>
      <c r="G106">
        <v>15712</v>
      </c>
      <c r="H106" t="s">
        <v>20</v>
      </c>
      <c r="I106" t="s">
        <v>24</v>
      </c>
      <c r="J106" t="s">
        <v>24</v>
      </c>
      <c r="K106" t="s">
        <v>24</v>
      </c>
      <c r="L106" t="s">
        <v>24</v>
      </c>
      <c r="M106">
        <v>1.1000000000000001</v>
      </c>
      <c r="N106">
        <v>303</v>
      </c>
      <c r="O106">
        <v>3.64</v>
      </c>
      <c r="P106">
        <v>20</v>
      </c>
      <c r="Q106">
        <v>128.65</v>
      </c>
      <c r="R106">
        <v>53</v>
      </c>
      <c r="S106">
        <v>349</v>
      </c>
      <c r="T106">
        <v>11.1</v>
      </c>
      <c r="U106">
        <v>2</v>
      </c>
    </row>
    <row r="107" spans="4:21" x14ac:dyDescent="0.3">
      <c r="D107">
        <v>3092</v>
      </c>
      <c r="E107" t="s">
        <v>30</v>
      </c>
      <c r="F107" t="s">
        <v>31</v>
      </c>
      <c r="G107">
        <v>12433</v>
      </c>
      <c r="H107" t="s">
        <v>20</v>
      </c>
      <c r="I107" t="s">
        <v>24</v>
      </c>
      <c r="J107" t="s">
        <v>21</v>
      </c>
      <c r="K107" t="s">
        <v>24</v>
      </c>
      <c r="L107" t="s">
        <v>24</v>
      </c>
      <c r="M107">
        <v>1.1000000000000001</v>
      </c>
      <c r="N107">
        <v>464</v>
      </c>
      <c r="O107">
        <v>4.2</v>
      </c>
      <c r="P107">
        <v>38</v>
      </c>
      <c r="Q107">
        <v>151.9</v>
      </c>
      <c r="R107">
        <v>102</v>
      </c>
      <c r="S107">
        <v>348</v>
      </c>
      <c r="T107">
        <v>10.3</v>
      </c>
      <c r="U107">
        <v>3</v>
      </c>
    </row>
    <row r="108" spans="4:21" x14ac:dyDescent="0.3">
      <c r="D108">
        <v>3222</v>
      </c>
      <c r="E108" t="s">
        <v>18</v>
      </c>
      <c r="F108" t="s">
        <v>19</v>
      </c>
      <c r="G108">
        <v>25023</v>
      </c>
      <c r="H108" t="s">
        <v>20</v>
      </c>
      <c r="I108" t="s">
        <v>21</v>
      </c>
      <c r="J108" t="s">
        <v>21</v>
      </c>
      <c r="K108" t="s">
        <v>24</v>
      </c>
      <c r="L108" t="s">
        <v>24</v>
      </c>
      <c r="M108">
        <v>2.1</v>
      </c>
      <c r="N108" s="10">
        <v>371</v>
      </c>
      <c r="O108">
        <v>3.9</v>
      </c>
      <c r="P108">
        <v>50</v>
      </c>
      <c r="Q108">
        <v>103.85</v>
      </c>
      <c r="R108" s="10">
        <v>123</v>
      </c>
      <c r="S108">
        <v>137</v>
      </c>
      <c r="T108">
        <v>10.6</v>
      </c>
      <c r="U108">
        <v>2</v>
      </c>
    </row>
    <row r="109" spans="4:21" x14ac:dyDescent="0.3">
      <c r="D109">
        <v>3388</v>
      </c>
      <c r="E109" t="s">
        <v>23</v>
      </c>
      <c r="F109" t="s">
        <v>31</v>
      </c>
      <c r="G109">
        <v>22836</v>
      </c>
      <c r="H109" t="s">
        <v>20</v>
      </c>
      <c r="I109" t="s">
        <v>24</v>
      </c>
      <c r="J109" t="s">
        <v>24</v>
      </c>
      <c r="K109" t="s">
        <v>24</v>
      </c>
      <c r="L109" t="s">
        <v>24</v>
      </c>
      <c r="M109">
        <v>0.6</v>
      </c>
      <c r="N109">
        <v>212</v>
      </c>
      <c r="O109">
        <v>4.03</v>
      </c>
      <c r="P109">
        <v>10</v>
      </c>
      <c r="Q109">
        <v>71.3</v>
      </c>
      <c r="R109">
        <v>77</v>
      </c>
      <c r="S109">
        <v>316</v>
      </c>
      <c r="T109">
        <v>17.100000000000001</v>
      </c>
      <c r="U109">
        <v>1</v>
      </c>
    </row>
    <row r="110" spans="4:21" x14ac:dyDescent="0.3">
      <c r="D110">
        <v>2583</v>
      </c>
      <c r="E110" t="s">
        <v>18</v>
      </c>
      <c r="F110" t="s">
        <v>19</v>
      </c>
      <c r="G110">
        <v>18393</v>
      </c>
      <c r="H110" t="s">
        <v>20</v>
      </c>
      <c r="I110" t="s">
        <v>24</v>
      </c>
      <c r="J110" t="s">
        <v>24</v>
      </c>
      <c r="K110" t="s">
        <v>24</v>
      </c>
      <c r="L110" t="s">
        <v>24</v>
      </c>
      <c r="M110">
        <v>0.4</v>
      </c>
      <c r="N110">
        <v>127</v>
      </c>
      <c r="O110">
        <v>3.5</v>
      </c>
      <c r="P110">
        <v>14</v>
      </c>
      <c r="Q110">
        <v>49.6</v>
      </c>
      <c r="R110">
        <v>84</v>
      </c>
      <c r="S110">
        <v>334</v>
      </c>
      <c r="T110">
        <v>10.3</v>
      </c>
      <c r="U110">
        <v>2</v>
      </c>
    </row>
    <row r="111" spans="4:21" x14ac:dyDescent="0.3">
      <c r="D111">
        <v>2504</v>
      </c>
      <c r="E111" t="s">
        <v>23</v>
      </c>
      <c r="F111" t="s">
        <v>31</v>
      </c>
      <c r="G111">
        <v>16094</v>
      </c>
      <c r="H111" t="s">
        <v>20</v>
      </c>
      <c r="I111" t="s">
        <v>24</v>
      </c>
      <c r="J111" t="s">
        <v>24</v>
      </c>
      <c r="K111" t="s">
        <v>24</v>
      </c>
      <c r="L111" t="s">
        <v>24</v>
      </c>
      <c r="M111">
        <v>0.5</v>
      </c>
      <c r="N111">
        <v>120</v>
      </c>
      <c r="O111">
        <v>3.61</v>
      </c>
      <c r="P111">
        <v>53</v>
      </c>
      <c r="Q111">
        <v>110.05</v>
      </c>
      <c r="R111">
        <v>52</v>
      </c>
      <c r="S111">
        <v>271</v>
      </c>
      <c r="T111">
        <v>10.6</v>
      </c>
      <c r="U111">
        <v>3</v>
      </c>
    </row>
    <row r="112" spans="4:21" x14ac:dyDescent="0.3">
      <c r="D112">
        <v>2105</v>
      </c>
      <c r="E112" t="s">
        <v>18</v>
      </c>
      <c r="F112" t="s">
        <v>19</v>
      </c>
      <c r="G112">
        <v>14212</v>
      </c>
      <c r="H112" t="s">
        <v>20</v>
      </c>
      <c r="I112" t="s">
        <v>24</v>
      </c>
      <c r="J112" t="s">
        <v>21</v>
      </c>
      <c r="K112" t="s">
        <v>21</v>
      </c>
      <c r="L112" t="s">
        <v>24</v>
      </c>
      <c r="M112">
        <v>1.9</v>
      </c>
      <c r="N112">
        <v>486</v>
      </c>
      <c r="O112">
        <v>3.54</v>
      </c>
      <c r="P112">
        <v>74</v>
      </c>
      <c r="Q112">
        <v>108.5</v>
      </c>
      <c r="R112">
        <v>109</v>
      </c>
      <c r="S112">
        <v>141</v>
      </c>
      <c r="T112">
        <v>10.9</v>
      </c>
      <c r="U112">
        <v>3</v>
      </c>
    </row>
    <row r="113" spans="4:21" x14ac:dyDescent="0.3">
      <c r="D113">
        <v>2350</v>
      </c>
      <c r="E113" t="s">
        <v>30</v>
      </c>
      <c r="F113" t="s">
        <v>19</v>
      </c>
      <c r="G113">
        <v>15031</v>
      </c>
      <c r="H113" t="s">
        <v>20</v>
      </c>
      <c r="I113" t="s">
        <v>24</v>
      </c>
      <c r="J113" t="s">
        <v>24</v>
      </c>
      <c r="K113" t="s">
        <v>24</v>
      </c>
      <c r="L113" t="s">
        <v>24</v>
      </c>
      <c r="M113">
        <v>5.5</v>
      </c>
      <c r="N113">
        <v>528</v>
      </c>
      <c r="O113">
        <v>4.18</v>
      </c>
      <c r="P113">
        <v>77</v>
      </c>
      <c r="Q113">
        <v>172.05</v>
      </c>
      <c r="R113">
        <v>78</v>
      </c>
      <c r="S113">
        <v>467</v>
      </c>
      <c r="T113">
        <v>10.7</v>
      </c>
      <c r="U113">
        <v>3</v>
      </c>
    </row>
    <row r="114" spans="4:21" x14ac:dyDescent="0.3">
      <c r="D114">
        <v>3445</v>
      </c>
      <c r="E114" t="s">
        <v>18</v>
      </c>
      <c r="F114" t="s">
        <v>31</v>
      </c>
      <c r="G114">
        <v>20256</v>
      </c>
      <c r="H114" t="s">
        <v>20</v>
      </c>
      <c r="I114" t="s">
        <v>24</v>
      </c>
      <c r="J114" t="s">
        <v>21</v>
      </c>
      <c r="K114" t="s">
        <v>21</v>
      </c>
      <c r="L114" t="s">
        <v>24</v>
      </c>
      <c r="M114">
        <v>2</v>
      </c>
      <c r="N114">
        <v>267</v>
      </c>
      <c r="O114">
        <v>3.67</v>
      </c>
      <c r="P114">
        <v>89</v>
      </c>
      <c r="Q114">
        <v>196.85</v>
      </c>
      <c r="R114">
        <v>90</v>
      </c>
      <c r="S114">
        <v>136</v>
      </c>
      <c r="T114">
        <v>11.8</v>
      </c>
      <c r="U114">
        <v>4</v>
      </c>
    </row>
    <row r="115" spans="4:21" x14ac:dyDescent="0.3">
      <c r="D115">
        <v>980</v>
      </c>
      <c r="E115" t="s">
        <v>18</v>
      </c>
      <c r="F115" t="s">
        <v>19</v>
      </c>
      <c r="G115">
        <v>18713</v>
      </c>
      <c r="H115" t="s">
        <v>20</v>
      </c>
      <c r="I115" t="s">
        <v>24</v>
      </c>
      <c r="J115" t="s">
        <v>21</v>
      </c>
      <c r="K115" t="s">
        <v>21</v>
      </c>
      <c r="L115" t="s">
        <v>24</v>
      </c>
      <c r="M115">
        <v>6.7</v>
      </c>
      <c r="N115">
        <v>374</v>
      </c>
      <c r="O115">
        <v>3.74</v>
      </c>
      <c r="P115">
        <v>103</v>
      </c>
      <c r="Q115">
        <v>128.65</v>
      </c>
      <c r="R115">
        <v>100</v>
      </c>
      <c r="S115">
        <v>266</v>
      </c>
      <c r="T115">
        <v>11.1</v>
      </c>
      <c r="U115">
        <v>4</v>
      </c>
    </row>
    <row r="116" spans="4:21" x14ac:dyDescent="0.3">
      <c r="D116">
        <v>3395</v>
      </c>
      <c r="E116" t="s">
        <v>18</v>
      </c>
      <c r="F116" t="s">
        <v>31</v>
      </c>
      <c r="G116">
        <v>19295</v>
      </c>
      <c r="H116" t="s">
        <v>26</v>
      </c>
      <c r="I116" t="s">
        <v>24</v>
      </c>
      <c r="J116" t="s">
        <v>24</v>
      </c>
      <c r="K116" t="s">
        <v>24</v>
      </c>
      <c r="L116" t="s">
        <v>24</v>
      </c>
      <c r="M116">
        <v>3.2</v>
      </c>
      <c r="N116">
        <v>259</v>
      </c>
      <c r="O116">
        <v>4.3</v>
      </c>
      <c r="P116">
        <v>208</v>
      </c>
      <c r="Q116">
        <v>110.05</v>
      </c>
      <c r="R116">
        <v>78</v>
      </c>
      <c r="S116">
        <v>268</v>
      </c>
      <c r="T116">
        <v>11.7</v>
      </c>
      <c r="U116">
        <v>3</v>
      </c>
    </row>
    <row r="117" spans="4:21" x14ac:dyDescent="0.3">
      <c r="D117">
        <v>3422</v>
      </c>
      <c r="E117" t="s">
        <v>23</v>
      </c>
      <c r="F117" t="s">
        <v>31</v>
      </c>
      <c r="G117">
        <v>15574</v>
      </c>
      <c r="H117" t="s">
        <v>20</v>
      </c>
      <c r="I117" t="s">
        <v>24</v>
      </c>
      <c r="J117" t="s">
        <v>24</v>
      </c>
      <c r="K117" t="s">
        <v>21</v>
      </c>
      <c r="L117" t="s">
        <v>24</v>
      </c>
      <c r="M117">
        <v>0.7</v>
      </c>
      <c r="N117">
        <v>303</v>
      </c>
      <c r="O117">
        <v>4.1900000000000004</v>
      </c>
      <c r="P117">
        <v>81</v>
      </c>
      <c r="Q117">
        <v>111.6</v>
      </c>
      <c r="R117">
        <v>156</v>
      </c>
      <c r="S117">
        <v>307</v>
      </c>
      <c r="T117">
        <v>10.3</v>
      </c>
      <c r="U117">
        <v>3</v>
      </c>
    </row>
    <row r="118" spans="4:21" x14ac:dyDescent="0.3">
      <c r="D118">
        <v>3336</v>
      </c>
      <c r="E118" t="s">
        <v>23</v>
      </c>
      <c r="F118" t="s">
        <v>19</v>
      </c>
      <c r="G118">
        <v>22306</v>
      </c>
      <c r="H118" t="s">
        <v>20</v>
      </c>
      <c r="I118" t="s">
        <v>24</v>
      </c>
      <c r="J118" t="s">
        <v>24</v>
      </c>
      <c r="K118" t="s">
        <v>21</v>
      </c>
      <c r="L118" t="s">
        <v>27</v>
      </c>
      <c r="M118">
        <v>3</v>
      </c>
      <c r="N118">
        <v>458</v>
      </c>
      <c r="O118">
        <v>3.63</v>
      </c>
      <c r="P118">
        <v>74</v>
      </c>
      <c r="Q118">
        <v>106.95</v>
      </c>
      <c r="R118" s="19">
        <v>319</v>
      </c>
      <c r="S118">
        <v>438</v>
      </c>
      <c r="T118">
        <v>9.9</v>
      </c>
      <c r="U118">
        <v>3</v>
      </c>
    </row>
    <row r="119" spans="4:21" x14ac:dyDescent="0.3">
      <c r="D119">
        <v>1083</v>
      </c>
      <c r="E119" t="s">
        <v>18</v>
      </c>
      <c r="F119" t="s">
        <v>19</v>
      </c>
      <c r="G119">
        <v>18137</v>
      </c>
      <c r="H119" t="s">
        <v>20</v>
      </c>
      <c r="I119" t="s">
        <v>24</v>
      </c>
      <c r="J119" t="s">
        <v>21</v>
      </c>
      <c r="K119" t="s">
        <v>21</v>
      </c>
      <c r="L119" t="s">
        <v>24</v>
      </c>
      <c r="M119">
        <v>6.5</v>
      </c>
      <c r="N119">
        <v>950</v>
      </c>
      <c r="O119">
        <v>3.11</v>
      </c>
      <c r="P119">
        <v>111</v>
      </c>
      <c r="Q119">
        <v>170.5</v>
      </c>
      <c r="R119">
        <v>149</v>
      </c>
      <c r="S119">
        <v>354</v>
      </c>
      <c r="T119">
        <v>11</v>
      </c>
      <c r="U119">
        <v>4</v>
      </c>
    </row>
    <row r="120" spans="4:21" x14ac:dyDescent="0.3">
      <c r="D120">
        <v>2288</v>
      </c>
      <c r="E120" t="s">
        <v>18</v>
      </c>
      <c r="F120" t="s">
        <v>19</v>
      </c>
      <c r="G120">
        <v>17844</v>
      </c>
      <c r="H120" t="s">
        <v>20</v>
      </c>
      <c r="I120" t="s">
        <v>24</v>
      </c>
      <c r="J120" t="s">
        <v>21</v>
      </c>
      <c r="K120" t="s">
        <v>24</v>
      </c>
      <c r="L120" t="s">
        <v>24</v>
      </c>
      <c r="M120">
        <v>3.5</v>
      </c>
      <c r="N120">
        <v>390</v>
      </c>
      <c r="O120">
        <v>3.3</v>
      </c>
      <c r="P120">
        <v>67</v>
      </c>
      <c r="Q120">
        <v>137.94999999999999</v>
      </c>
      <c r="R120">
        <v>93</v>
      </c>
      <c r="S120">
        <v>207</v>
      </c>
      <c r="T120">
        <v>10.199999999999999</v>
      </c>
      <c r="U120">
        <v>3</v>
      </c>
    </row>
    <row r="121" spans="4:21" x14ac:dyDescent="0.3">
      <c r="D121">
        <v>515</v>
      </c>
      <c r="E121" t="s">
        <v>18</v>
      </c>
      <c r="F121" t="s">
        <v>19</v>
      </c>
      <c r="G121">
        <v>19817</v>
      </c>
      <c r="H121" t="s">
        <v>20</v>
      </c>
      <c r="I121" t="s">
        <v>24</v>
      </c>
      <c r="J121" t="s">
        <v>24</v>
      </c>
      <c r="K121" t="s">
        <v>21</v>
      </c>
      <c r="L121" t="s">
        <v>24</v>
      </c>
      <c r="M121">
        <v>0.6</v>
      </c>
      <c r="N121">
        <v>636</v>
      </c>
      <c r="O121">
        <v>3.83</v>
      </c>
      <c r="P121">
        <v>129</v>
      </c>
      <c r="Q121">
        <v>97.65</v>
      </c>
      <c r="R121">
        <v>114</v>
      </c>
      <c r="S121">
        <v>306</v>
      </c>
      <c r="T121">
        <v>9.5</v>
      </c>
      <c r="U121">
        <v>3</v>
      </c>
    </row>
    <row r="122" spans="4:21" x14ac:dyDescent="0.3">
      <c r="D122">
        <v>2033</v>
      </c>
      <c r="E122" t="s">
        <v>30</v>
      </c>
      <c r="F122" t="s">
        <v>19</v>
      </c>
      <c r="G122">
        <v>12839</v>
      </c>
      <c r="H122" t="s">
        <v>26</v>
      </c>
      <c r="I122" t="s">
        <v>24</v>
      </c>
      <c r="J122" t="s">
        <v>24</v>
      </c>
      <c r="K122" t="s">
        <v>24</v>
      </c>
      <c r="L122" t="s">
        <v>24</v>
      </c>
      <c r="M122">
        <v>3.5</v>
      </c>
      <c r="N122">
        <v>325</v>
      </c>
      <c r="O122">
        <v>3.98</v>
      </c>
      <c r="P122" s="19">
        <v>290</v>
      </c>
      <c r="Q122">
        <v>130.19999999999999</v>
      </c>
      <c r="R122">
        <v>210</v>
      </c>
      <c r="S122">
        <v>344</v>
      </c>
      <c r="T122">
        <v>10.6</v>
      </c>
      <c r="U122">
        <v>3</v>
      </c>
    </row>
    <row r="123" spans="4:21" x14ac:dyDescent="0.3">
      <c r="D123">
        <v>191</v>
      </c>
      <c r="E123" t="s">
        <v>18</v>
      </c>
      <c r="F123" t="s">
        <v>31</v>
      </c>
      <c r="G123">
        <v>24803</v>
      </c>
      <c r="H123" t="s">
        <v>26</v>
      </c>
      <c r="I123" t="s">
        <v>21</v>
      </c>
      <c r="J123" t="s">
        <v>21</v>
      </c>
      <c r="K123" t="s">
        <v>24</v>
      </c>
      <c r="L123" t="s">
        <v>21</v>
      </c>
      <c r="M123">
        <v>1.3</v>
      </c>
      <c r="N123">
        <v>151</v>
      </c>
      <c r="O123">
        <v>3.08</v>
      </c>
      <c r="P123">
        <v>73</v>
      </c>
      <c r="Q123">
        <v>46.5</v>
      </c>
      <c r="R123">
        <v>49</v>
      </c>
      <c r="S123">
        <v>213</v>
      </c>
      <c r="T123">
        <v>13.2</v>
      </c>
      <c r="U123">
        <v>4</v>
      </c>
    </row>
    <row r="124" spans="4:21" x14ac:dyDescent="0.3">
      <c r="D124">
        <v>3297</v>
      </c>
      <c r="E124" t="s">
        <v>23</v>
      </c>
      <c r="F124" t="s">
        <v>19</v>
      </c>
      <c r="G124">
        <v>20248</v>
      </c>
      <c r="H124" t="s">
        <v>20</v>
      </c>
      <c r="I124" t="s">
        <v>24</v>
      </c>
      <c r="J124" t="s">
        <v>24</v>
      </c>
      <c r="K124" t="s">
        <v>24</v>
      </c>
      <c r="L124" t="s">
        <v>24</v>
      </c>
      <c r="M124">
        <v>0.6</v>
      </c>
      <c r="N124">
        <v>298</v>
      </c>
      <c r="O124">
        <v>4.13</v>
      </c>
      <c r="P124">
        <v>29</v>
      </c>
      <c r="Q124">
        <v>65.099999999999994</v>
      </c>
      <c r="R124">
        <v>85</v>
      </c>
      <c r="S124">
        <v>256</v>
      </c>
      <c r="T124">
        <v>10.7</v>
      </c>
      <c r="U124">
        <v>3</v>
      </c>
    </row>
    <row r="125" spans="4:21" x14ac:dyDescent="0.3">
      <c r="D125">
        <v>971</v>
      </c>
      <c r="E125" t="s">
        <v>18</v>
      </c>
      <c r="F125" t="s">
        <v>19</v>
      </c>
      <c r="G125">
        <v>16736</v>
      </c>
      <c r="H125" t="s">
        <v>20</v>
      </c>
      <c r="I125" t="s">
        <v>24</v>
      </c>
      <c r="J125" t="s">
        <v>21</v>
      </c>
      <c r="K125" t="s">
        <v>21</v>
      </c>
      <c r="L125" t="s">
        <v>21</v>
      </c>
      <c r="M125">
        <v>5.0999999999999996</v>
      </c>
      <c r="N125" s="10">
        <v>371</v>
      </c>
      <c r="O125">
        <v>3.23</v>
      </c>
      <c r="P125">
        <v>18</v>
      </c>
      <c r="Q125">
        <v>179.8</v>
      </c>
      <c r="R125" s="10">
        <v>123</v>
      </c>
      <c r="S125">
        <v>104</v>
      </c>
      <c r="T125">
        <v>13</v>
      </c>
      <c r="U125">
        <v>4</v>
      </c>
    </row>
    <row r="126" spans="4:21" x14ac:dyDescent="0.3">
      <c r="D126">
        <v>3069</v>
      </c>
      <c r="E126" t="s">
        <v>23</v>
      </c>
      <c r="F126" t="s">
        <v>19</v>
      </c>
      <c r="G126">
        <v>19318</v>
      </c>
      <c r="H126" t="s">
        <v>26</v>
      </c>
      <c r="I126" t="s">
        <v>24</v>
      </c>
      <c r="J126" t="s">
        <v>21</v>
      </c>
      <c r="K126" t="s">
        <v>24</v>
      </c>
      <c r="L126" t="s">
        <v>24</v>
      </c>
      <c r="M126">
        <v>0.6</v>
      </c>
      <c r="N126">
        <v>251</v>
      </c>
      <c r="O126">
        <v>3.9</v>
      </c>
      <c r="P126">
        <v>25</v>
      </c>
      <c r="Q126">
        <v>57.35</v>
      </c>
      <c r="R126">
        <v>107</v>
      </c>
      <c r="S126">
        <v>182</v>
      </c>
      <c r="T126">
        <v>10.8</v>
      </c>
      <c r="U126">
        <v>4</v>
      </c>
    </row>
    <row r="127" spans="4:21" x14ac:dyDescent="0.3">
      <c r="D127">
        <v>2468</v>
      </c>
      <c r="E127" t="s">
        <v>30</v>
      </c>
      <c r="F127" t="s">
        <v>31</v>
      </c>
      <c r="G127">
        <v>17233</v>
      </c>
      <c r="H127" t="s">
        <v>20</v>
      </c>
      <c r="I127" t="s">
        <v>24</v>
      </c>
      <c r="J127" t="s">
        <v>21</v>
      </c>
      <c r="K127" t="s">
        <v>24</v>
      </c>
      <c r="L127" t="s">
        <v>24</v>
      </c>
      <c r="M127">
        <v>1.3</v>
      </c>
      <c r="N127">
        <v>316</v>
      </c>
      <c r="O127">
        <v>3.51</v>
      </c>
      <c r="P127">
        <v>75</v>
      </c>
      <c r="Q127">
        <v>147.25</v>
      </c>
      <c r="R127">
        <v>137</v>
      </c>
      <c r="S127">
        <v>238</v>
      </c>
      <c r="T127">
        <v>10</v>
      </c>
      <c r="U127">
        <v>4</v>
      </c>
    </row>
    <row r="128" spans="4:21" x14ac:dyDescent="0.3">
      <c r="D128">
        <v>824</v>
      </c>
      <c r="E128" t="s">
        <v>18</v>
      </c>
      <c r="F128" t="s">
        <v>19</v>
      </c>
      <c r="G128">
        <v>19577</v>
      </c>
      <c r="H128" t="s">
        <v>20</v>
      </c>
      <c r="I128" t="s">
        <v>21</v>
      </c>
      <c r="J128" t="s">
        <v>21</v>
      </c>
      <c r="K128" t="s">
        <v>21</v>
      </c>
      <c r="L128" t="s">
        <v>24</v>
      </c>
      <c r="M128">
        <v>1.2</v>
      </c>
      <c r="N128">
        <v>269</v>
      </c>
      <c r="O128">
        <v>3.12</v>
      </c>
      <c r="P128" s="10">
        <v>94</v>
      </c>
      <c r="Q128">
        <v>165.85</v>
      </c>
      <c r="R128">
        <v>68</v>
      </c>
      <c r="S128">
        <v>166</v>
      </c>
      <c r="T128">
        <v>11.1</v>
      </c>
      <c r="U128">
        <v>4</v>
      </c>
    </row>
    <row r="129" spans="4:21" x14ac:dyDescent="0.3">
      <c r="D129">
        <v>3255</v>
      </c>
      <c r="E129" t="s">
        <v>23</v>
      </c>
      <c r="F129" t="s">
        <v>31</v>
      </c>
      <c r="G129">
        <v>16109</v>
      </c>
      <c r="H129" t="s">
        <v>20</v>
      </c>
      <c r="I129" t="s">
        <v>24</v>
      </c>
      <c r="J129" t="s">
        <v>24</v>
      </c>
      <c r="K129" t="s">
        <v>24</v>
      </c>
      <c r="L129" t="s">
        <v>24</v>
      </c>
      <c r="M129">
        <v>0.5</v>
      </c>
      <c r="N129">
        <v>268</v>
      </c>
      <c r="O129">
        <v>4.08</v>
      </c>
      <c r="P129">
        <v>9</v>
      </c>
      <c r="Q129">
        <v>86.8</v>
      </c>
      <c r="R129">
        <v>95</v>
      </c>
      <c r="S129">
        <v>453</v>
      </c>
      <c r="T129">
        <v>10</v>
      </c>
      <c r="U129">
        <v>2</v>
      </c>
    </row>
    <row r="130" spans="4:21" x14ac:dyDescent="0.3">
      <c r="D130">
        <v>1037</v>
      </c>
      <c r="E130" t="s">
        <v>18</v>
      </c>
      <c r="F130" t="s">
        <v>19</v>
      </c>
      <c r="G130">
        <v>15322</v>
      </c>
      <c r="H130" t="s">
        <v>20</v>
      </c>
      <c r="I130" t="s">
        <v>24</v>
      </c>
      <c r="J130" t="s">
        <v>21</v>
      </c>
      <c r="K130" t="s">
        <v>21</v>
      </c>
      <c r="L130" t="s">
        <v>24</v>
      </c>
      <c r="M130">
        <v>16.2</v>
      </c>
      <c r="N130" s="10">
        <v>371</v>
      </c>
      <c r="O130">
        <v>2.89</v>
      </c>
      <c r="P130">
        <v>42</v>
      </c>
      <c r="Q130" s="19">
        <v>246.45</v>
      </c>
      <c r="R130" s="10">
        <v>123</v>
      </c>
      <c r="S130">
        <v>123</v>
      </c>
      <c r="T130">
        <v>12.6</v>
      </c>
      <c r="U130">
        <v>4</v>
      </c>
    </row>
    <row r="131" spans="4:21" x14ac:dyDescent="0.3">
      <c r="D131">
        <v>3239</v>
      </c>
      <c r="E131" t="s">
        <v>23</v>
      </c>
      <c r="F131" t="s">
        <v>19</v>
      </c>
      <c r="G131">
        <v>23235</v>
      </c>
      <c r="H131" t="s">
        <v>20</v>
      </c>
      <c r="I131" t="s">
        <v>24</v>
      </c>
      <c r="J131" t="s">
        <v>21</v>
      </c>
      <c r="K131" t="s">
        <v>24</v>
      </c>
      <c r="L131" t="s">
        <v>24</v>
      </c>
      <c r="M131">
        <v>0.9</v>
      </c>
      <c r="N131">
        <v>420</v>
      </c>
      <c r="O131">
        <v>3.87</v>
      </c>
      <c r="P131">
        <v>30</v>
      </c>
      <c r="Q131">
        <v>57.35</v>
      </c>
      <c r="R131">
        <v>232</v>
      </c>
      <c r="S131" s="10">
        <v>262</v>
      </c>
      <c r="T131">
        <v>9.6999999999999993</v>
      </c>
      <c r="U131">
        <v>3</v>
      </c>
    </row>
    <row r="132" spans="4:21" x14ac:dyDescent="0.3">
      <c r="D132">
        <v>1413</v>
      </c>
      <c r="E132" t="s">
        <v>18</v>
      </c>
      <c r="F132" t="s">
        <v>31</v>
      </c>
      <c r="G132">
        <v>16154</v>
      </c>
      <c r="H132" t="s">
        <v>20</v>
      </c>
      <c r="I132" t="s">
        <v>24</v>
      </c>
      <c r="J132" t="s">
        <v>21</v>
      </c>
      <c r="K132" t="s">
        <v>21</v>
      </c>
      <c r="L132" t="s">
        <v>24</v>
      </c>
      <c r="M132">
        <v>17.399999999999999</v>
      </c>
      <c r="N132">
        <v>1775</v>
      </c>
      <c r="O132">
        <v>3.43</v>
      </c>
      <c r="P132">
        <v>205</v>
      </c>
      <c r="Q132">
        <v>165.85</v>
      </c>
      <c r="R132">
        <v>97</v>
      </c>
      <c r="S132">
        <v>418</v>
      </c>
      <c r="T132">
        <v>11.5</v>
      </c>
      <c r="U132">
        <v>3</v>
      </c>
    </row>
    <row r="133" spans="4:21" x14ac:dyDescent="0.3">
      <c r="D133">
        <v>850</v>
      </c>
      <c r="E133" t="s">
        <v>18</v>
      </c>
      <c r="F133" t="s">
        <v>31</v>
      </c>
      <c r="G133">
        <v>22646</v>
      </c>
      <c r="H133" t="s">
        <v>20</v>
      </c>
      <c r="I133" t="s">
        <v>24</v>
      </c>
      <c r="J133" t="s">
        <v>21</v>
      </c>
      <c r="K133" t="s">
        <v>21</v>
      </c>
      <c r="L133" t="s">
        <v>24</v>
      </c>
      <c r="M133">
        <v>2.8</v>
      </c>
      <c r="N133">
        <v>242</v>
      </c>
      <c r="O133">
        <v>3.8</v>
      </c>
      <c r="P133">
        <v>74</v>
      </c>
      <c r="Q133">
        <v>136.4</v>
      </c>
      <c r="R133">
        <v>104</v>
      </c>
      <c r="S133">
        <v>121</v>
      </c>
      <c r="T133">
        <v>13.2</v>
      </c>
      <c r="U133">
        <v>4</v>
      </c>
    </row>
    <row r="134" spans="4:21" x14ac:dyDescent="0.3">
      <c r="D134">
        <v>2944</v>
      </c>
      <c r="E134" t="s">
        <v>23</v>
      </c>
      <c r="F134" t="s">
        <v>19</v>
      </c>
      <c r="G134">
        <v>14812</v>
      </c>
      <c r="H134" t="s">
        <v>20</v>
      </c>
      <c r="I134" t="s">
        <v>24</v>
      </c>
      <c r="J134" t="s">
        <v>24</v>
      </c>
      <c r="K134" t="s">
        <v>24</v>
      </c>
      <c r="L134" t="s">
        <v>24</v>
      </c>
      <c r="M134">
        <v>1.9</v>
      </c>
      <c r="N134">
        <v>448</v>
      </c>
      <c r="O134">
        <v>3.83</v>
      </c>
      <c r="P134">
        <v>60</v>
      </c>
      <c r="Q134">
        <v>127.1</v>
      </c>
      <c r="R134">
        <v>175</v>
      </c>
      <c r="S134">
        <v>181</v>
      </c>
      <c r="T134">
        <v>9.8000000000000007</v>
      </c>
      <c r="U134">
        <v>3</v>
      </c>
    </row>
    <row r="135" spans="4:21" x14ac:dyDescent="0.3">
      <c r="D135">
        <v>2796</v>
      </c>
      <c r="E135" t="s">
        <v>18</v>
      </c>
      <c r="F135" t="s">
        <v>31</v>
      </c>
      <c r="G135">
        <v>22881</v>
      </c>
      <c r="H135" t="s">
        <v>26</v>
      </c>
      <c r="I135" t="s">
        <v>24</v>
      </c>
      <c r="J135" t="s">
        <v>24</v>
      </c>
      <c r="K135" t="s">
        <v>24</v>
      </c>
      <c r="L135" t="s">
        <v>24</v>
      </c>
      <c r="M135">
        <v>1.5</v>
      </c>
      <c r="N135">
        <v>331</v>
      </c>
      <c r="O135">
        <v>3.95</v>
      </c>
      <c r="P135">
        <v>13</v>
      </c>
      <c r="Q135">
        <v>128.65</v>
      </c>
      <c r="R135">
        <v>99</v>
      </c>
      <c r="S135">
        <v>165</v>
      </c>
      <c r="T135">
        <v>10.1</v>
      </c>
      <c r="U135">
        <v>4</v>
      </c>
    </row>
    <row r="136" spans="4:21" x14ac:dyDescent="0.3">
      <c r="D136">
        <v>3149</v>
      </c>
      <c r="E136" t="s">
        <v>23</v>
      </c>
      <c r="F136" t="s">
        <v>31</v>
      </c>
      <c r="G136">
        <v>15463</v>
      </c>
      <c r="H136" t="s">
        <v>20</v>
      </c>
      <c r="I136" t="s">
        <v>24</v>
      </c>
      <c r="J136" t="s">
        <v>24</v>
      </c>
      <c r="K136" t="s">
        <v>24</v>
      </c>
      <c r="L136" t="s">
        <v>24</v>
      </c>
      <c r="M136">
        <v>0.7</v>
      </c>
      <c r="N136">
        <v>578</v>
      </c>
      <c r="O136">
        <v>3.67</v>
      </c>
      <c r="P136">
        <v>35</v>
      </c>
      <c r="Q136">
        <v>127.1</v>
      </c>
      <c r="R136">
        <v>105</v>
      </c>
      <c r="S136">
        <v>427</v>
      </c>
      <c r="T136">
        <v>10.7</v>
      </c>
      <c r="U136">
        <v>2</v>
      </c>
    </row>
    <row r="137" spans="4:21" x14ac:dyDescent="0.3">
      <c r="D137">
        <v>3150</v>
      </c>
      <c r="E137" t="s">
        <v>23</v>
      </c>
      <c r="F137" t="s">
        <v>19</v>
      </c>
      <c r="G137">
        <v>15694</v>
      </c>
      <c r="H137" t="s">
        <v>20</v>
      </c>
      <c r="I137" t="s">
        <v>24</v>
      </c>
      <c r="J137" t="s">
        <v>24</v>
      </c>
      <c r="K137" t="s">
        <v>24</v>
      </c>
      <c r="L137" t="s">
        <v>24</v>
      </c>
      <c r="M137">
        <v>0.4</v>
      </c>
      <c r="N137">
        <v>263</v>
      </c>
      <c r="O137">
        <v>3.57</v>
      </c>
      <c r="P137">
        <v>123</v>
      </c>
      <c r="Q137">
        <v>74.400000000000006</v>
      </c>
      <c r="R137">
        <v>121</v>
      </c>
      <c r="S137">
        <v>445</v>
      </c>
      <c r="T137">
        <v>11</v>
      </c>
      <c r="U137">
        <v>2</v>
      </c>
    </row>
    <row r="138" spans="4:21" x14ac:dyDescent="0.3">
      <c r="D138">
        <v>3098</v>
      </c>
      <c r="E138" t="s">
        <v>23</v>
      </c>
      <c r="F138" t="s">
        <v>19</v>
      </c>
      <c r="G138">
        <v>20440</v>
      </c>
      <c r="H138" t="s">
        <v>20</v>
      </c>
      <c r="I138" t="s">
        <v>24</v>
      </c>
      <c r="J138" t="s">
        <v>24</v>
      </c>
      <c r="K138" t="s">
        <v>24</v>
      </c>
      <c r="L138" t="s">
        <v>24</v>
      </c>
      <c r="M138">
        <v>0.8</v>
      </c>
      <c r="N138">
        <v>263</v>
      </c>
      <c r="O138">
        <v>3.35</v>
      </c>
      <c r="P138">
        <v>27</v>
      </c>
      <c r="Q138">
        <v>116.25</v>
      </c>
      <c r="R138">
        <v>69</v>
      </c>
      <c r="S138">
        <v>206</v>
      </c>
      <c r="T138">
        <v>9.8000000000000007</v>
      </c>
      <c r="U138">
        <v>2</v>
      </c>
    </row>
    <row r="139" spans="4:21" x14ac:dyDescent="0.3">
      <c r="D139">
        <v>2990</v>
      </c>
      <c r="E139" t="s">
        <v>23</v>
      </c>
      <c r="F139" t="s">
        <v>19</v>
      </c>
      <c r="G139">
        <v>22960</v>
      </c>
      <c r="H139" t="s">
        <v>20</v>
      </c>
      <c r="I139" t="s">
        <v>24</v>
      </c>
      <c r="J139" t="s">
        <v>24</v>
      </c>
      <c r="K139" t="s">
        <v>24</v>
      </c>
      <c r="L139" t="s">
        <v>24</v>
      </c>
      <c r="M139">
        <v>1.1000000000000001</v>
      </c>
      <c r="N139">
        <v>399</v>
      </c>
      <c r="O139">
        <v>3.6</v>
      </c>
      <c r="P139">
        <v>79</v>
      </c>
      <c r="Q139">
        <v>155</v>
      </c>
      <c r="R139">
        <v>152</v>
      </c>
      <c r="S139">
        <v>344</v>
      </c>
      <c r="T139">
        <v>10.1</v>
      </c>
      <c r="U139">
        <v>2</v>
      </c>
    </row>
    <row r="140" spans="4:21" x14ac:dyDescent="0.3">
      <c r="D140">
        <v>1297</v>
      </c>
      <c r="E140" t="s">
        <v>18</v>
      </c>
      <c r="F140" t="s">
        <v>19</v>
      </c>
      <c r="G140">
        <v>18719</v>
      </c>
      <c r="H140" t="s">
        <v>26</v>
      </c>
      <c r="I140" t="s">
        <v>24</v>
      </c>
      <c r="J140" t="s">
        <v>21</v>
      </c>
      <c r="K140" t="s">
        <v>24</v>
      </c>
      <c r="L140" t="s">
        <v>24</v>
      </c>
      <c r="M140">
        <v>7.3</v>
      </c>
      <c r="N140">
        <v>426</v>
      </c>
      <c r="O140">
        <v>3.93</v>
      </c>
      <c r="P140">
        <v>262</v>
      </c>
      <c r="Q140">
        <v>145.69999999999999</v>
      </c>
      <c r="R140">
        <v>218</v>
      </c>
      <c r="S140">
        <v>252</v>
      </c>
      <c r="T140">
        <v>10.5</v>
      </c>
      <c r="U140">
        <v>3</v>
      </c>
    </row>
    <row r="141" spans="4:21" x14ac:dyDescent="0.3">
      <c r="D141">
        <v>2106</v>
      </c>
      <c r="E141" t="s">
        <v>23</v>
      </c>
      <c r="F141" t="s">
        <v>31</v>
      </c>
      <c r="G141">
        <v>17080</v>
      </c>
      <c r="H141" t="s">
        <v>20</v>
      </c>
      <c r="I141" t="s">
        <v>24</v>
      </c>
      <c r="J141" t="s">
        <v>21</v>
      </c>
      <c r="K141" t="s">
        <v>24</v>
      </c>
      <c r="L141" t="s">
        <v>24</v>
      </c>
      <c r="M141">
        <v>1.1000000000000001</v>
      </c>
      <c r="N141">
        <v>328</v>
      </c>
      <c r="O141">
        <v>3.31</v>
      </c>
      <c r="P141">
        <v>159</v>
      </c>
      <c r="Q141">
        <v>94.55</v>
      </c>
      <c r="R141">
        <v>134</v>
      </c>
      <c r="S141">
        <v>142</v>
      </c>
      <c r="T141">
        <v>11.6</v>
      </c>
      <c r="U141">
        <v>4</v>
      </c>
    </row>
    <row r="142" spans="4:21" x14ac:dyDescent="0.3">
      <c r="D142">
        <v>3059</v>
      </c>
      <c r="E142" t="s">
        <v>23</v>
      </c>
      <c r="F142" t="s">
        <v>19</v>
      </c>
      <c r="G142">
        <v>19751</v>
      </c>
      <c r="H142" t="s">
        <v>20</v>
      </c>
      <c r="I142" t="s">
        <v>24</v>
      </c>
      <c r="J142" t="s">
        <v>21</v>
      </c>
      <c r="K142" t="s">
        <v>24</v>
      </c>
      <c r="L142" t="s">
        <v>24</v>
      </c>
      <c r="M142">
        <v>1.1000000000000001</v>
      </c>
      <c r="N142">
        <v>290</v>
      </c>
      <c r="O142">
        <v>4.09</v>
      </c>
      <c r="P142">
        <v>38</v>
      </c>
      <c r="Q142">
        <v>186</v>
      </c>
      <c r="R142">
        <v>146</v>
      </c>
      <c r="S142">
        <v>318</v>
      </c>
      <c r="T142">
        <v>10</v>
      </c>
      <c r="U142">
        <v>3</v>
      </c>
    </row>
    <row r="143" spans="4:21" x14ac:dyDescent="0.3">
      <c r="D143">
        <v>3050</v>
      </c>
      <c r="E143" t="s">
        <v>23</v>
      </c>
      <c r="F143" t="s">
        <v>19</v>
      </c>
      <c r="G143">
        <v>17180</v>
      </c>
      <c r="H143" t="s">
        <v>20</v>
      </c>
      <c r="I143" t="s">
        <v>24</v>
      </c>
      <c r="J143" t="s">
        <v>24</v>
      </c>
      <c r="K143" t="s">
        <v>24</v>
      </c>
      <c r="L143" t="s">
        <v>24</v>
      </c>
      <c r="M143">
        <v>0.9</v>
      </c>
      <c r="N143">
        <v>346</v>
      </c>
      <c r="O143">
        <v>3.77</v>
      </c>
      <c r="P143">
        <v>59</v>
      </c>
      <c r="Q143">
        <v>125.55</v>
      </c>
      <c r="R143">
        <v>56</v>
      </c>
      <c r="S143">
        <v>336</v>
      </c>
      <c r="T143">
        <v>10.6</v>
      </c>
      <c r="U143">
        <v>2</v>
      </c>
    </row>
    <row r="144" spans="4:21" x14ac:dyDescent="0.3">
      <c r="D144">
        <v>2419</v>
      </c>
      <c r="E144" t="s">
        <v>18</v>
      </c>
      <c r="F144" t="s">
        <v>31</v>
      </c>
      <c r="G144">
        <v>20354</v>
      </c>
      <c r="H144" t="s">
        <v>20</v>
      </c>
      <c r="I144" t="s">
        <v>24</v>
      </c>
      <c r="J144" t="s">
        <v>21</v>
      </c>
      <c r="K144" t="s">
        <v>24</v>
      </c>
      <c r="L144" t="s">
        <v>24</v>
      </c>
      <c r="M144">
        <v>1</v>
      </c>
      <c r="N144">
        <v>364</v>
      </c>
      <c r="O144">
        <v>3.48</v>
      </c>
      <c r="P144">
        <v>20</v>
      </c>
      <c r="Q144">
        <v>134.85</v>
      </c>
      <c r="R144">
        <v>88</v>
      </c>
      <c r="S144">
        <v>283</v>
      </c>
      <c r="T144">
        <v>9.9</v>
      </c>
      <c r="U144">
        <v>2</v>
      </c>
    </row>
    <row r="145" spans="4:21" x14ac:dyDescent="0.3">
      <c r="D145">
        <v>786</v>
      </c>
      <c r="E145" t="s">
        <v>18</v>
      </c>
      <c r="F145" t="s">
        <v>31</v>
      </c>
      <c r="G145">
        <v>16839</v>
      </c>
      <c r="H145" t="s">
        <v>20</v>
      </c>
      <c r="I145" t="s">
        <v>24</v>
      </c>
      <c r="J145" t="s">
        <v>21</v>
      </c>
      <c r="K145" t="s">
        <v>24</v>
      </c>
      <c r="L145" t="s">
        <v>24</v>
      </c>
      <c r="M145">
        <v>2.9</v>
      </c>
      <c r="N145">
        <v>332</v>
      </c>
      <c r="O145">
        <v>3.6</v>
      </c>
      <c r="P145">
        <v>86</v>
      </c>
      <c r="Q145">
        <v>134.85</v>
      </c>
      <c r="R145">
        <v>103</v>
      </c>
      <c r="S145">
        <v>277</v>
      </c>
      <c r="T145">
        <v>11</v>
      </c>
      <c r="U145">
        <v>4</v>
      </c>
    </row>
    <row r="146" spans="4:21" x14ac:dyDescent="0.3">
      <c r="D146">
        <v>943</v>
      </c>
      <c r="E146" t="s">
        <v>18</v>
      </c>
      <c r="F146" t="s">
        <v>31</v>
      </c>
      <c r="G146">
        <v>19098</v>
      </c>
      <c r="H146" t="s">
        <v>20</v>
      </c>
      <c r="I146" t="s">
        <v>24</v>
      </c>
      <c r="J146" t="s">
        <v>21</v>
      </c>
      <c r="K146" t="s">
        <v>24</v>
      </c>
      <c r="L146" t="s">
        <v>27</v>
      </c>
      <c r="M146" s="19">
        <v>17.399999999999999</v>
      </c>
      <c r="N146">
        <v>556</v>
      </c>
      <c r="O146">
        <v>3.26</v>
      </c>
      <c r="P146">
        <v>152</v>
      </c>
      <c r="Q146">
        <v>198.4</v>
      </c>
      <c r="R146">
        <v>171</v>
      </c>
      <c r="S146">
        <v>335</v>
      </c>
      <c r="T146">
        <v>10</v>
      </c>
      <c r="U146">
        <v>3</v>
      </c>
    </row>
    <row r="147" spans="4:21" x14ac:dyDescent="0.3">
      <c r="D147">
        <v>2976</v>
      </c>
      <c r="E147" t="s">
        <v>23</v>
      </c>
      <c r="F147" t="s">
        <v>31</v>
      </c>
      <c r="G147">
        <v>18701</v>
      </c>
      <c r="H147" t="s">
        <v>20</v>
      </c>
      <c r="I147" t="s">
        <v>24</v>
      </c>
      <c r="J147" t="s">
        <v>24</v>
      </c>
      <c r="K147" t="s">
        <v>21</v>
      </c>
      <c r="L147" t="s">
        <v>24</v>
      </c>
      <c r="M147">
        <v>0.7</v>
      </c>
      <c r="N147">
        <v>309</v>
      </c>
      <c r="O147">
        <v>3.84</v>
      </c>
      <c r="P147">
        <v>96</v>
      </c>
      <c r="Q147">
        <v>41.85</v>
      </c>
      <c r="R147">
        <v>106</v>
      </c>
      <c r="S147">
        <v>253</v>
      </c>
      <c r="T147">
        <v>11.4</v>
      </c>
      <c r="U147">
        <v>3</v>
      </c>
    </row>
    <row r="148" spans="4:21" x14ac:dyDescent="0.3">
      <c r="D148">
        <v>2615</v>
      </c>
      <c r="E148" t="s">
        <v>23</v>
      </c>
      <c r="F148" t="s">
        <v>31</v>
      </c>
      <c r="G148">
        <v>12369</v>
      </c>
      <c r="H148" t="s">
        <v>20</v>
      </c>
      <c r="I148" t="s">
        <v>24</v>
      </c>
      <c r="J148" t="s">
        <v>24</v>
      </c>
      <c r="K148" t="s">
        <v>24</v>
      </c>
      <c r="L148" t="s">
        <v>27</v>
      </c>
      <c r="M148">
        <v>1.2</v>
      </c>
      <c r="N148" s="10">
        <v>371</v>
      </c>
      <c r="O148">
        <v>3.89</v>
      </c>
      <c r="P148">
        <v>58</v>
      </c>
      <c r="Q148">
        <v>173.6</v>
      </c>
      <c r="R148" s="10">
        <v>123</v>
      </c>
      <c r="S148">
        <v>239</v>
      </c>
      <c r="T148">
        <v>9.4</v>
      </c>
      <c r="U148">
        <v>3</v>
      </c>
    </row>
    <row r="149" spans="4:21" x14ac:dyDescent="0.3">
      <c r="D149">
        <v>2995</v>
      </c>
      <c r="E149" t="s">
        <v>23</v>
      </c>
      <c r="F149" t="s">
        <v>19</v>
      </c>
      <c r="G149">
        <v>27398</v>
      </c>
      <c r="H149" t="s">
        <v>20</v>
      </c>
      <c r="I149" t="s">
        <v>24</v>
      </c>
      <c r="J149" t="s">
        <v>24</v>
      </c>
      <c r="K149" t="s">
        <v>24</v>
      </c>
      <c r="L149" t="s">
        <v>27</v>
      </c>
      <c r="M149">
        <v>1.2</v>
      </c>
      <c r="N149">
        <v>288</v>
      </c>
      <c r="O149">
        <v>3.37</v>
      </c>
      <c r="P149">
        <v>32</v>
      </c>
      <c r="Q149">
        <v>57.35</v>
      </c>
      <c r="R149">
        <v>114</v>
      </c>
      <c r="S149">
        <v>213</v>
      </c>
      <c r="T149">
        <v>10.7</v>
      </c>
      <c r="U149">
        <v>2</v>
      </c>
    </row>
    <row r="150" spans="4:21" x14ac:dyDescent="0.3">
      <c r="D150">
        <v>1427</v>
      </c>
      <c r="E150" t="s">
        <v>18</v>
      </c>
      <c r="F150" t="s">
        <v>31</v>
      </c>
      <c r="G150">
        <v>11273</v>
      </c>
      <c r="H150" t="s">
        <v>20</v>
      </c>
      <c r="I150" t="s">
        <v>24</v>
      </c>
      <c r="J150" t="s">
        <v>21</v>
      </c>
      <c r="K150" t="s">
        <v>24</v>
      </c>
      <c r="L150" t="s">
        <v>24</v>
      </c>
      <c r="M150">
        <v>7.2</v>
      </c>
      <c r="N150">
        <v>1015</v>
      </c>
      <c r="O150">
        <v>3.26</v>
      </c>
      <c r="P150">
        <v>247</v>
      </c>
      <c r="Q150">
        <v>198.4</v>
      </c>
      <c r="R150">
        <v>280</v>
      </c>
      <c r="S150">
        <v>330</v>
      </c>
      <c r="T150">
        <v>9.8000000000000007</v>
      </c>
      <c r="U150">
        <v>3</v>
      </c>
    </row>
    <row r="151" spans="4:21" x14ac:dyDescent="0.3">
      <c r="D151">
        <v>762</v>
      </c>
      <c r="E151" t="s">
        <v>18</v>
      </c>
      <c r="F151" t="s">
        <v>19</v>
      </c>
      <c r="G151">
        <v>22574</v>
      </c>
      <c r="H151" t="s">
        <v>26</v>
      </c>
      <c r="I151" t="s">
        <v>24</v>
      </c>
      <c r="J151" t="s">
        <v>21</v>
      </c>
      <c r="K151" t="s">
        <v>21</v>
      </c>
      <c r="L151" t="s">
        <v>27</v>
      </c>
      <c r="M151">
        <v>3</v>
      </c>
      <c r="N151">
        <v>257</v>
      </c>
      <c r="O151">
        <v>3.79</v>
      </c>
      <c r="P151">
        <v>290</v>
      </c>
      <c r="Q151">
        <v>102.3</v>
      </c>
      <c r="R151">
        <v>112</v>
      </c>
      <c r="S151">
        <v>140</v>
      </c>
      <c r="T151">
        <v>9.9</v>
      </c>
      <c r="U151">
        <v>4</v>
      </c>
    </row>
    <row r="152" spans="4:21" x14ac:dyDescent="0.3">
      <c r="D152">
        <v>2891</v>
      </c>
      <c r="E152" t="s">
        <v>23</v>
      </c>
      <c r="F152" t="s">
        <v>31</v>
      </c>
      <c r="G152">
        <v>12779</v>
      </c>
      <c r="H152" t="s">
        <v>20</v>
      </c>
      <c r="I152" t="s">
        <v>24</v>
      </c>
      <c r="J152" t="s">
        <v>24</v>
      </c>
      <c r="K152" t="s">
        <v>21</v>
      </c>
      <c r="L152" t="s">
        <v>24</v>
      </c>
      <c r="M152">
        <v>1</v>
      </c>
      <c r="N152" s="10">
        <v>371</v>
      </c>
      <c r="O152">
        <v>3.63</v>
      </c>
      <c r="P152">
        <v>57</v>
      </c>
      <c r="Q152">
        <v>134.85</v>
      </c>
      <c r="R152" s="10">
        <v>123</v>
      </c>
      <c r="S152">
        <v>233</v>
      </c>
      <c r="T152">
        <v>10</v>
      </c>
      <c r="U152">
        <v>1</v>
      </c>
    </row>
    <row r="153" spans="4:21" x14ac:dyDescent="0.3">
      <c r="D153">
        <v>2870</v>
      </c>
      <c r="E153" t="s">
        <v>23</v>
      </c>
      <c r="F153" t="s">
        <v>19</v>
      </c>
      <c r="G153">
        <v>20104</v>
      </c>
      <c r="H153" t="s">
        <v>20</v>
      </c>
      <c r="I153" t="s">
        <v>24</v>
      </c>
      <c r="J153" t="s">
        <v>24</v>
      </c>
      <c r="K153" t="s">
        <v>24</v>
      </c>
      <c r="L153" t="s">
        <v>24</v>
      </c>
      <c r="M153">
        <v>0.9</v>
      </c>
      <c r="N153">
        <v>460</v>
      </c>
      <c r="O153">
        <v>3.03</v>
      </c>
      <c r="P153">
        <v>57</v>
      </c>
      <c r="Q153">
        <v>85.25</v>
      </c>
      <c r="R153">
        <v>174</v>
      </c>
      <c r="S153">
        <v>301</v>
      </c>
      <c r="T153">
        <v>9.4</v>
      </c>
      <c r="U153">
        <v>2</v>
      </c>
    </row>
    <row r="154" spans="4:21" x14ac:dyDescent="0.3">
      <c r="D154">
        <v>1152</v>
      </c>
      <c r="E154" t="s">
        <v>18</v>
      </c>
      <c r="F154" t="s">
        <v>19</v>
      </c>
      <c r="G154">
        <v>25546</v>
      </c>
      <c r="H154" t="s">
        <v>26</v>
      </c>
      <c r="I154" t="s">
        <v>24</v>
      </c>
      <c r="J154" t="s">
        <v>21</v>
      </c>
      <c r="K154" t="s">
        <v>24</v>
      </c>
      <c r="L154" t="s">
        <v>24</v>
      </c>
      <c r="M154">
        <v>2.2999999999999998</v>
      </c>
      <c r="N154">
        <v>586</v>
      </c>
      <c r="O154">
        <v>3.01</v>
      </c>
      <c r="P154">
        <v>243</v>
      </c>
      <c r="Q154">
        <v>114.7</v>
      </c>
      <c r="R154">
        <v>126</v>
      </c>
      <c r="S154">
        <v>339</v>
      </c>
      <c r="T154">
        <v>10.9</v>
      </c>
      <c r="U154">
        <v>3</v>
      </c>
    </row>
    <row r="155" spans="4:21" x14ac:dyDescent="0.3">
      <c r="D155">
        <v>2863</v>
      </c>
      <c r="E155" t="s">
        <v>23</v>
      </c>
      <c r="F155" t="s">
        <v>19</v>
      </c>
      <c r="G155">
        <v>18118</v>
      </c>
      <c r="H155" t="s">
        <v>20</v>
      </c>
      <c r="I155" t="s">
        <v>24</v>
      </c>
      <c r="J155" t="s">
        <v>24</v>
      </c>
      <c r="K155" t="s">
        <v>24</v>
      </c>
      <c r="L155" t="s">
        <v>24</v>
      </c>
      <c r="M155">
        <v>0.5</v>
      </c>
      <c r="N155">
        <v>217</v>
      </c>
      <c r="O155">
        <v>3.85</v>
      </c>
      <c r="P155">
        <v>68</v>
      </c>
      <c r="Q155">
        <v>54.25</v>
      </c>
      <c r="R155">
        <v>68</v>
      </c>
      <c r="S155">
        <v>270</v>
      </c>
      <c r="T155">
        <v>11.1</v>
      </c>
      <c r="U155">
        <v>1</v>
      </c>
    </row>
    <row r="156" spans="4:21" x14ac:dyDescent="0.3">
      <c r="D156">
        <v>140</v>
      </c>
      <c r="E156" t="s">
        <v>18</v>
      </c>
      <c r="F156" t="s">
        <v>19</v>
      </c>
      <c r="G156">
        <v>25340</v>
      </c>
      <c r="H156" t="s">
        <v>26</v>
      </c>
      <c r="I156" t="s">
        <v>24</v>
      </c>
      <c r="J156" t="s">
        <v>24</v>
      </c>
      <c r="K156" t="s">
        <v>21</v>
      </c>
      <c r="L156" t="s">
        <v>21</v>
      </c>
      <c r="M156">
        <v>2.4</v>
      </c>
      <c r="N156">
        <v>168</v>
      </c>
      <c r="O156">
        <v>2.56</v>
      </c>
      <c r="P156">
        <v>225</v>
      </c>
      <c r="Q156">
        <v>120.9</v>
      </c>
      <c r="R156">
        <v>75</v>
      </c>
      <c r="S156">
        <v>108</v>
      </c>
      <c r="T156">
        <v>14.1</v>
      </c>
      <c r="U156">
        <v>3</v>
      </c>
    </row>
    <row r="157" spans="4:21" x14ac:dyDescent="0.3">
      <c r="D157">
        <v>2666</v>
      </c>
      <c r="E157" t="s">
        <v>23</v>
      </c>
      <c r="F157" t="s">
        <v>31</v>
      </c>
      <c r="G157">
        <v>15909</v>
      </c>
      <c r="H157" t="s">
        <v>20</v>
      </c>
      <c r="I157" t="s">
        <v>24</v>
      </c>
      <c r="J157" t="s">
        <v>21</v>
      </c>
      <c r="K157" t="s">
        <v>21</v>
      </c>
      <c r="L157" t="s">
        <v>27</v>
      </c>
      <c r="M157">
        <v>0.6</v>
      </c>
      <c r="N157">
        <v>220</v>
      </c>
      <c r="O157">
        <v>3.35</v>
      </c>
      <c r="P157">
        <v>57</v>
      </c>
      <c r="Q157">
        <v>153.44999999999999</v>
      </c>
      <c r="R157">
        <v>80</v>
      </c>
      <c r="S157">
        <v>311</v>
      </c>
      <c r="T157">
        <v>11.2</v>
      </c>
      <c r="U157">
        <v>4</v>
      </c>
    </row>
    <row r="158" spans="4:21" x14ac:dyDescent="0.3">
      <c r="D158">
        <v>853</v>
      </c>
      <c r="E158" t="s">
        <v>18</v>
      </c>
      <c r="F158" t="s">
        <v>31</v>
      </c>
      <c r="G158">
        <v>21699</v>
      </c>
      <c r="H158" t="s">
        <v>20</v>
      </c>
      <c r="I158" t="s">
        <v>24</v>
      </c>
      <c r="J158" t="s">
        <v>21</v>
      </c>
      <c r="K158" t="s">
        <v>24</v>
      </c>
      <c r="L158" t="s">
        <v>24</v>
      </c>
      <c r="M158" s="19">
        <v>17.399999999999999</v>
      </c>
      <c r="N158">
        <v>358</v>
      </c>
      <c r="O158">
        <v>3.52</v>
      </c>
      <c r="P158">
        <v>219</v>
      </c>
      <c r="Q158">
        <v>201.5</v>
      </c>
      <c r="R158">
        <v>205</v>
      </c>
      <c r="S158">
        <v>151</v>
      </c>
      <c r="T158">
        <v>11.5</v>
      </c>
      <c r="U158">
        <v>2</v>
      </c>
    </row>
    <row r="159" spans="4:21" x14ac:dyDescent="0.3">
      <c r="D159">
        <v>2835</v>
      </c>
      <c r="E159" t="s">
        <v>23</v>
      </c>
      <c r="F159" t="s">
        <v>31</v>
      </c>
      <c r="G159">
        <v>17809</v>
      </c>
      <c r="H159" t="s">
        <v>20</v>
      </c>
      <c r="I159" t="s">
        <v>24</v>
      </c>
      <c r="J159" t="s">
        <v>24</v>
      </c>
      <c r="K159" t="s">
        <v>24</v>
      </c>
      <c r="L159" t="s">
        <v>24</v>
      </c>
      <c r="M159">
        <v>0.6</v>
      </c>
      <c r="N159">
        <v>286</v>
      </c>
      <c r="O159">
        <v>3.42</v>
      </c>
      <c r="P159">
        <v>34</v>
      </c>
      <c r="Q159">
        <v>77.5</v>
      </c>
      <c r="R159">
        <v>206</v>
      </c>
      <c r="S159">
        <v>487</v>
      </c>
      <c r="T159">
        <v>10</v>
      </c>
      <c r="U159">
        <v>2</v>
      </c>
    </row>
    <row r="160" spans="4:21" x14ac:dyDescent="0.3">
      <c r="D160">
        <v>2475</v>
      </c>
      <c r="E160" t="s">
        <v>30</v>
      </c>
      <c r="F160" t="s">
        <v>19</v>
      </c>
      <c r="G160">
        <v>13329</v>
      </c>
      <c r="H160" t="s">
        <v>20</v>
      </c>
      <c r="I160" t="s">
        <v>24</v>
      </c>
      <c r="J160" t="s">
        <v>24</v>
      </c>
      <c r="K160" t="s">
        <v>24</v>
      </c>
      <c r="L160" t="s">
        <v>24</v>
      </c>
      <c r="M160">
        <v>3.4</v>
      </c>
      <c r="N160">
        <v>450</v>
      </c>
      <c r="O160">
        <v>3.37</v>
      </c>
      <c r="P160">
        <v>32</v>
      </c>
      <c r="Q160">
        <v>116.25</v>
      </c>
      <c r="R160">
        <v>118</v>
      </c>
      <c r="S160">
        <v>313</v>
      </c>
      <c r="T160">
        <v>11.2</v>
      </c>
      <c r="U160">
        <v>2</v>
      </c>
    </row>
    <row r="161" spans="4:21" x14ac:dyDescent="0.3">
      <c r="D161">
        <v>1536</v>
      </c>
      <c r="E161" t="s">
        <v>18</v>
      </c>
      <c r="F161" t="s">
        <v>31</v>
      </c>
      <c r="G161">
        <v>16714</v>
      </c>
      <c r="H161" t="s">
        <v>26</v>
      </c>
      <c r="I161" t="s">
        <v>24</v>
      </c>
      <c r="J161" t="s">
        <v>24</v>
      </c>
      <c r="K161" t="s">
        <v>24</v>
      </c>
      <c r="L161" t="s">
        <v>24</v>
      </c>
      <c r="M161">
        <v>2.5</v>
      </c>
      <c r="N161">
        <v>317</v>
      </c>
      <c r="O161">
        <v>3.46</v>
      </c>
      <c r="P161">
        <v>217</v>
      </c>
      <c r="Q161">
        <v>130.19999999999999</v>
      </c>
      <c r="R161">
        <v>140</v>
      </c>
      <c r="S161">
        <v>207</v>
      </c>
      <c r="T161">
        <v>10.1</v>
      </c>
      <c r="U161">
        <v>3</v>
      </c>
    </row>
    <row r="162" spans="4:21" x14ac:dyDescent="0.3">
      <c r="D162">
        <v>2772</v>
      </c>
      <c r="E162" t="s">
        <v>23</v>
      </c>
      <c r="F162" t="s">
        <v>31</v>
      </c>
      <c r="G162">
        <v>20955</v>
      </c>
      <c r="H162" t="s">
        <v>20</v>
      </c>
      <c r="I162" t="s">
        <v>24</v>
      </c>
      <c r="J162" t="s">
        <v>24</v>
      </c>
      <c r="K162" t="s">
        <v>24</v>
      </c>
      <c r="L162" t="s">
        <v>24</v>
      </c>
      <c r="M162">
        <v>0.6</v>
      </c>
      <c r="N162">
        <v>217</v>
      </c>
      <c r="O162">
        <v>3.62</v>
      </c>
      <c r="P162">
        <v>13</v>
      </c>
      <c r="Q162">
        <v>75.95</v>
      </c>
      <c r="R162">
        <v>119</v>
      </c>
      <c r="S162">
        <v>224</v>
      </c>
      <c r="T162">
        <v>10.5</v>
      </c>
      <c r="U162">
        <v>3</v>
      </c>
    </row>
    <row r="163" spans="4:21" x14ac:dyDescent="0.3">
      <c r="D163">
        <v>2797</v>
      </c>
      <c r="E163" t="s">
        <v>23</v>
      </c>
      <c r="F163" t="s">
        <v>31</v>
      </c>
      <c r="G163">
        <v>15612</v>
      </c>
      <c r="H163" t="s">
        <v>20</v>
      </c>
      <c r="I163" t="s">
        <v>24</v>
      </c>
      <c r="J163" t="s">
        <v>24</v>
      </c>
      <c r="K163" t="s">
        <v>24</v>
      </c>
      <c r="L163" t="s">
        <v>24</v>
      </c>
      <c r="M163">
        <v>2.2999999999999998</v>
      </c>
      <c r="N163">
        <v>502</v>
      </c>
      <c r="O163">
        <v>3.56</v>
      </c>
      <c r="P163">
        <v>4</v>
      </c>
      <c r="Q163">
        <v>120.9</v>
      </c>
      <c r="R163">
        <v>180</v>
      </c>
      <c r="S163">
        <v>269</v>
      </c>
      <c r="T163">
        <v>9.6</v>
      </c>
      <c r="U163">
        <v>2</v>
      </c>
    </row>
    <row r="164" spans="4:21" x14ac:dyDescent="0.3">
      <c r="D164">
        <v>186</v>
      </c>
      <c r="E164" t="s">
        <v>18</v>
      </c>
      <c r="F164" t="s">
        <v>31</v>
      </c>
      <c r="G164">
        <v>21483</v>
      </c>
      <c r="H164" t="s">
        <v>20</v>
      </c>
      <c r="I164" t="s">
        <v>24</v>
      </c>
      <c r="J164" t="s">
        <v>21</v>
      </c>
      <c r="K164" t="s">
        <v>21</v>
      </c>
      <c r="L164" t="s">
        <v>24</v>
      </c>
      <c r="M164">
        <v>3.2</v>
      </c>
      <c r="N164">
        <v>260</v>
      </c>
      <c r="O164">
        <v>3.19</v>
      </c>
      <c r="P164">
        <v>91</v>
      </c>
      <c r="Q164">
        <v>127.1</v>
      </c>
      <c r="R164">
        <v>101</v>
      </c>
      <c r="S164">
        <v>160</v>
      </c>
      <c r="T164">
        <v>12</v>
      </c>
      <c r="U164">
        <v>4</v>
      </c>
    </row>
    <row r="165" spans="4:21" x14ac:dyDescent="0.3">
      <c r="D165">
        <v>2055</v>
      </c>
      <c r="E165" t="s">
        <v>18</v>
      </c>
      <c r="F165" t="s">
        <v>19</v>
      </c>
      <c r="G165">
        <v>19540</v>
      </c>
      <c r="H165" t="s">
        <v>20</v>
      </c>
      <c r="I165" t="s">
        <v>24</v>
      </c>
      <c r="J165" t="s">
        <v>24</v>
      </c>
      <c r="K165" t="s">
        <v>24</v>
      </c>
      <c r="L165" t="s">
        <v>24</v>
      </c>
      <c r="M165">
        <v>0.3</v>
      </c>
      <c r="N165">
        <v>233</v>
      </c>
      <c r="O165">
        <v>4.08</v>
      </c>
      <c r="P165">
        <v>20</v>
      </c>
      <c r="Q165">
        <v>66.650000000000006</v>
      </c>
      <c r="R165">
        <v>68</v>
      </c>
      <c r="S165">
        <v>358</v>
      </c>
      <c r="T165">
        <v>9.9</v>
      </c>
      <c r="U165">
        <v>3</v>
      </c>
    </row>
    <row r="166" spans="4:21" x14ac:dyDescent="0.3">
      <c r="D166">
        <v>264</v>
      </c>
      <c r="E166" t="s">
        <v>18</v>
      </c>
      <c r="F166" t="s">
        <v>31</v>
      </c>
      <c r="G166">
        <v>15857</v>
      </c>
      <c r="H166" t="s">
        <v>20</v>
      </c>
      <c r="I166" t="s">
        <v>24</v>
      </c>
      <c r="J166" t="s">
        <v>21</v>
      </c>
      <c r="K166" t="s">
        <v>21</v>
      </c>
      <c r="L166" t="s">
        <v>27</v>
      </c>
      <c r="M166">
        <v>8.5</v>
      </c>
      <c r="N166" s="10">
        <v>371</v>
      </c>
      <c r="O166">
        <v>3.34</v>
      </c>
      <c r="P166">
        <v>161</v>
      </c>
      <c r="Q166">
        <v>181.35</v>
      </c>
      <c r="R166" s="10">
        <v>123</v>
      </c>
      <c r="S166">
        <v>88</v>
      </c>
      <c r="T166">
        <v>13.3</v>
      </c>
      <c r="U166">
        <v>4</v>
      </c>
    </row>
    <row r="167" spans="4:21" x14ac:dyDescent="0.3">
      <c r="D167">
        <v>1077</v>
      </c>
      <c r="E167" t="s">
        <v>18</v>
      </c>
      <c r="F167" t="s">
        <v>19</v>
      </c>
      <c r="G167">
        <v>19470</v>
      </c>
      <c r="H167" t="s">
        <v>26</v>
      </c>
      <c r="I167" t="s">
        <v>24</v>
      </c>
      <c r="J167" t="s">
        <v>21</v>
      </c>
      <c r="K167" t="s">
        <v>24</v>
      </c>
      <c r="L167" t="s">
        <v>24</v>
      </c>
      <c r="M167">
        <v>4</v>
      </c>
      <c r="N167">
        <v>196</v>
      </c>
      <c r="O167">
        <v>3.45</v>
      </c>
      <c r="P167">
        <v>80</v>
      </c>
      <c r="Q167">
        <v>133.30000000000001</v>
      </c>
      <c r="R167">
        <v>142</v>
      </c>
      <c r="S167">
        <v>212</v>
      </c>
      <c r="T167">
        <v>11.3</v>
      </c>
      <c r="U167">
        <v>4</v>
      </c>
    </row>
    <row r="168" spans="4:21" x14ac:dyDescent="0.3">
      <c r="D168">
        <v>2721</v>
      </c>
      <c r="E168" t="s">
        <v>23</v>
      </c>
      <c r="F168" t="s">
        <v>31</v>
      </c>
      <c r="G168">
        <v>15105</v>
      </c>
      <c r="H168" t="s">
        <v>20</v>
      </c>
      <c r="I168" t="s">
        <v>24</v>
      </c>
      <c r="J168" t="s">
        <v>21</v>
      </c>
      <c r="K168" t="s">
        <v>24</v>
      </c>
      <c r="L168" t="s">
        <v>24</v>
      </c>
      <c r="M168">
        <v>5.7</v>
      </c>
      <c r="N168">
        <v>1480</v>
      </c>
      <c r="O168">
        <v>3.26</v>
      </c>
      <c r="P168">
        <v>84</v>
      </c>
      <c r="Q168" s="19">
        <v>246.45</v>
      </c>
      <c r="R168">
        <v>108</v>
      </c>
      <c r="S168">
        <v>213</v>
      </c>
      <c r="T168">
        <v>9.5</v>
      </c>
      <c r="U168">
        <v>2</v>
      </c>
    </row>
    <row r="169" spans="4:21" x14ac:dyDescent="0.3">
      <c r="D169">
        <v>1682</v>
      </c>
      <c r="E169" t="s">
        <v>18</v>
      </c>
      <c r="F169" t="s">
        <v>19</v>
      </c>
      <c r="G169">
        <v>22265</v>
      </c>
      <c r="H169" t="s">
        <v>26</v>
      </c>
      <c r="I169" t="s">
        <v>24</v>
      </c>
      <c r="J169" t="s">
        <v>21</v>
      </c>
      <c r="K169" t="s">
        <v>24</v>
      </c>
      <c r="L169" t="s">
        <v>24</v>
      </c>
      <c r="M169">
        <v>0.9</v>
      </c>
      <c r="N169">
        <v>376</v>
      </c>
      <c r="O169">
        <v>3.86</v>
      </c>
      <c r="P169">
        <v>200</v>
      </c>
      <c r="Q169">
        <v>83.7</v>
      </c>
      <c r="R169">
        <v>154</v>
      </c>
      <c r="S169">
        <v>238</v>
      </c>
      <c r="T169">
        <v>10.3</v>
      </c>
      <c r="U169">
        <v>4</v>
      </c>
    </row>
    <row r="170" spans="4:21" x14ac:dyDescent="0.3">
      <c r="D170">
        <v>2713</v>
      </c>
      <c r="E170" t="s">
        <v>23</v>
      </c>
      <c r="F170" t="s">
        <v>31</v>
      </c>
      <c r="G170">
        <v>17442</v>
      </c>
      <c r="H170" t="s">
        <v>20</v>
      </c>
      <c r="I170" t="s">
        <v>24</v>
      </c>
      <c r="J170" t="s">
        <v>21</v>
      </c>
      <c r="K170" t="s">
        <v>24</v>
      </c>
      <c r="L170" t="s">
        <v>24</v>
      </c>
      <c r="M170">
        <v>0.4</v>
      </c>
      <c r="N170">
        <v>257</v>
      </c>
      <c r="O170">
        <v>3.8</v>
      </c>
      <c r="P170">
        <v>44</v>
      </c>
      <c r="Q170">
        <v>97.65</v>
      </c>
      <c r="R170">
        <v>110</v>
      </c>
      <c r="S170" s="10">
        <v>262</v>
      </c>
      <c r="T170">
        <v>9.1999999999999993</v>
      </c>
      <c r="U170">
        <v>2</v>
      </c>
    </row>
    <row r="171" spans="4:21" x14ac:dyDescent="0.3">
      <c r="D171">
        <v>1212</v>
      </c>
      <c r="E171" t="s">
        <v>18</v>
      </c>
      <c r="F171" t="s">
        <v>31</v>
      </c>
      <c r="G171">
        <v>12963</v>
      </c>
      <c r="H171" t="s">
        <v>20</v>
      </c>
      <c r="I171" t="s">
        <v>24</v>
      </c>
      <c r="J171" t="s">
        <v>24</v>
      </c>
      <c r="K171" t="s">
        <v>24</v>
      </c>
      <c r="L171" t="s">
        <v>24</v>
      </c>
      <c r="M171">
        <v>1.3</v>
      </c>
      <c r="N171">
        <v>408</v>
      </c>
      <c r="O171">
        <v>4.22</v>
      </c>
      <c r="P171">
        <v>67</v>
      </c>
      <c r="Q171">
        <v>142.6</v>
      </c>
      <c r="R171">
        <v>137</v>
      </c>
      <c r="S171">
        <v>295</v>
      </c>
      <c r="T171">
        <v>10.1</v>
      </c>
      <c r="U171">
        <v>3</v>
      </c>
    </row>
    <row r="172" spans="4:21" x14ac:dyDescent="0.3">
      <c r="D172">
        <v>2692</v>
      </c>
      <c r="E172" t="s">
        <v>23</v>
      </c>
      <c r="F172" t="s">
        <v>19</v>
      </c>
      <c r="G172">
        <v>17774</v>
      </c>
      <c r="H172" t="s">
        <v>20</v>
      </c>
      <c r="I172" t="s">
        <v>24</v>
      </c>
      <c r="J172" t="s">
        <v>24</v>
      </c>
      <c r="K172" t="s">
        <v>24</v>
      </c>
      <c r="L172" t="s">
        <v>24</v>
      </c>
      <c r="M172">
        <v>1.2</v>
      </c>
      <c r="N172">
        <v>390</v>
      </c>
      <c r="O172">
        <v>3.61</v>
      </c>
      <c r="P172">
        <v>32</v>
      </c>
      <c r="Q172">
        <v>88.35</v>
      </c>
      <c r="R172">
        <v>52</v>
      </c>
      <c r="S172">
        <v>263</v>
      </c>
      <c r="T172">
        <v>9</v>
      </c>
      <c r="U172">
        <v>3</v>
      </c>
    </row>
    <row r="173" spans="4:21" x14ac:dyDescent="0.3">
      <c r="D173">
        <v>2574</v>
      </c>
      <c r="E173" t="s">
        <v>23</v>
      </c>
      <c r="F173" t="s">
        <v>19</v>
      </c>
      <c r="G173">
        <v>19237</v>
      </c>
      <c r="H173" t="s">
        <v>20</v>
      </c>
      <c r="I173" t="s">
        <v>24</v>
      </c>
      <c r="J173" t="s">
        <v>24</v>
      </c>
      <c r="K173" t="s">
        <v>24</v>
      </c>
      <c r="L173" t="s">
        <v>24</v>
      </c>
      <c r="M173">
        <v>0.5</v>
      </c>
      <c r="N173" s="10">
        <v>371</v>
      </c>
      <c r="O173">
        <v>4.5199999999999996</v>
      </c>
      <c r="P173">
        <v>31</v>
      </c>
      <c r="Q173">
        <v>74.400000000000006</v>
      </c>
      <c r="R173" s="10">
        <v>123</v>
      </c>
      <c r="S173">
        <v>361</v>
      </c>
      <c r="T173">
        <v>10.1</v>
      </c>
      <c r="U173">
        <v>3</v>
      </c>
    </row>
    <row r="174" spans="4:21" x14ac:dyDescent="0.3">
      <c r="D174">
        <v>2301</v>
      </c>
      <c r="E174" t="s">
        <v>23</v>
      </c>
      <c r="F174" t="s">
        <v>31</v>
      </c>
      <c r="G174">
        <v>18215</v>
      </c>
      <c r="H174" t="s">
        <v>20</v>
      </c>
      <c r="I174" t="s">
        <v>24</v>
      </c>
      <c r="J174" t="s">
        <v>24</v>
      </c>
      <c r="K174" t="s">
        <v>21</v>
      </c>
      <c r="L174" t="s">
        <v>24</v>
      </c>
      <c r="M174">
        <v>1.3</v>
      </c>
      <c r="N174">
        <v>205</v>
      </c>
      <c r="O174">
        <v>3.34</v>
      </c>
      <c r="P174">
        <v>65</v>
      </c>
      <c r="Q174">
        <v>91.45</v>
      </c>
      <c r="R174">
        <v>126</v>
      </c>
      <c r="S174">
        <v>217</v>
      </c>
      <c r="T174">
        <v>9.8000000000000007</v>
      </c>
      <c r="U174">
        <v>3</v>
      </c>
    </row>
    <row r="175" spans="4:21" x14ac:dyDescent="0.3">
      <c r="D175">
        <v>2657</v>
      </c>
      <c r="E175" t="s">
        <v>23</v>
      </c>
      <c r="F175" t="s">
        <v>19</v>
      </c>
      <c r="G175">
        <v>11058</v>
      </c>
      <c r="H175" t="s">
        <v>20</v>
      </c>
      <c r="I175" t="s">
        <v>24</v>
      </c>
      <c r="J175" t="s">
        <v>21</v>
      </c>
      <c r="K175" t="s">
        <v>21</v>
      </c>
      <c r="L175" t="s">
        <v>24</v>
      </c>
      <c r="M175">
        <v>3</v>
      </c>
      <c r="N175">
        <v>236</v>
      </c>
      <c r="O175">
        <v>3.42</v>
      </c>
      <c r="P175">
        <v>76</v>
      </c>
      <c r="Q175">
        <v>89.9</v>
      </c>
      <c r="R175">
        <v>86</v>
      </c>
      <c r="S175">
        <v>493</v>
      </c>
      <c r="T175">
        <v>9.8000000000000007</v>
      </c>
      <c r="U175">
        <v>2</v>
      </c>
    </row>
    <row r="176" spans="4:21" x14ac:dyDescent="0.3">
      <c r="D176">
        <v>2644</v>
      </c>
      <c r="E176" t="s">
        <v>23</v>
      </c>
      <c r="F176" t="s">
        <v>19</v>
      </c>
      <c r="G176">
        <v>20296</v>
      </c>
      <c r="H176" t="s">
        <v>20</v>
      </c>
      <c r="I176" t="s">
        <v>24</v>
      </c>
      <c r="J176" t="s">
        <v>24</v>
      </c>
      <c r="K176" t="s">
        <v>24</v>
      </c>
      <c r="L176" t="s">
        <v>24</v>
      </c>
      <c r="M176">
        <v>0.5</v>
      </c>
      <c r="N176" s="10">
        <v>371</v>
      </c>
      <c r="O176">
        <v>3.85</v>
      </c>
      <c r="P176">
        <v>63</v>
      </c>
      <c r="Q176">
        <v>79.05</v>
      </c>
      <c r="R176" s="10">
        <v>123</v>
      </c>
      <c r="S176">
        <v>311</v>
      </c>
      <c r="T176">
        <v>9.6999999999999993</v>
      </c>
      <c r="U176">
        <v>1</v>
      </c>
    </row>
    <row r="177" spans="4:21" x14ac:dyDescent="0.3">
      <c r="D177">
        <v>2624</v>
      </c>
      <c r="E177" t="s">
        <v>23</v>
      </c>
      <c r="F177" t="s">
        <v>31</v>
      </c>
      <c r="G177">
        <v>19049</v>
      </c>
      <c r="H177" t="s">
        <v>20</v>
      </c>
      <c r="I177" t="s">
        <v>24</v>
      </c>
      <c r="J177" t="s">
        <v>24</v>
      </c>
      <c r="K177" t="s">
        <v>24</v>
      </c>
      <c r="L177" t="s">
        <v>24</v>
      </c>
      <c r="M177">
        <v>0.8</v>
      </c>
      <c r="N177">
        <v>283</v>
      </c>
      <c r="O177">
        <v>3.8</v>
      </c>
      <c r="P177">
        <v>152</v>
      </c>
      <c r="Q177">
        <v>108.5</v>
      </c>
      <c r="R177">
        <v>168</v>
      </c>
      <c r="S177">
        <v>340</v>
      </c>
      <c r="T177">
        <v>10.1</v>
      </c>
      <c r="U177">
        <v>3</v>
      </c>
    </row>
    <row r="178" spans="4:21" x14ac:dyDescent="0.3">
      <c r="D178">
        <v>1492</v>
      </c>
      <c r="E178" t="s">
        <v>18</v>
      </c>
      <c r="F178" t="s">
        <v>19</v>
      </c>
      <c r="G178">
        <v>15198</v>
      </c>
      <c r="H178" t="s">
        <v>20</v>
      </c>
      <c r="I178" t="s">
        <v>24</v>
      </c>
      <c r="J178" t="s">
        <v>21</v>
      </c>
      <c r="K178" t="s">
        <v>21</v>
      </c>
      <c r="L178" t="s">
        <v>24</v>
      </c>
      <c r="M178">
        <v>3.2</v>
      </c>
      <c r="N178" s="10">
        <v>371</v>
      </c>
      <c r="O178">
        <v>3.56</v>
      </c>
      <c r="P178">
        <v>77</v>
      </c>
      <c r="Q178">
        <v>139.5</v>
      </c>
      <c r="R178" s="10">
        <v>123</v>
      </c>
      <c r="S178">
        <v>149</v>
      </c>
      <c r="T178">
        <v>10.1</v>
      </c>
      <c r="U178">
        <v>4</v>
      </c>
    </row>
    <row r="179" spans="4:21" x14ac:dyDescent="0.3">
      <c r="D179">
        <v>2609</v>
      </c>
      <c r="E179" t="s">
        <v>23</v>
      </c>
      <c r="F179" t="s">
        <v>31</v>
      </c>
      <c r="G179">
        <v>20254</v>
      </c>
      <c r="H179" t="s">
        <v>20</v>
      </c>
      <c r="I179" t="s">
        <v>24</v>
      </c>
      <c r="J179" t="s">
        <v>24</v>
      </c>
      <c r="K179" t="s">
        <v>24</v>
      </c>
      <c r="L179" t="s">
        <v>24</v>
      </c>
      <c r="M179">
        <v>0.9</v>
      </c>
      <c r="N179">
        <v>258</v>
      </c>
      <c r="O179">
        <v>4.01</v>
      </c>
      <c r="P179">
        <v>49</v>
      </c>
      <c r="Q179">
        <v>43.4</v>
      </c>
      <c r="R179">
        <v>133</v>
      </c>
      <c r="S179">
        <v>277</v>
      </c>
      <c r="T179">
        <v>10.4</v>
      </c>
      <c r="U179">
        <v>2</v>
      </c>
    </row>
    <row r="180" spans="4:21" x14ac:dyDescent="0.3">
      <c r="D180">
        <v>2580</v>
      </c>
      <c r="E180" t="s">
        <v>23</v>
      </c>
      <c r="F180" t="s">
        <v>19</v>
      </c>
      <c r="G180">
        <v>25569</v>
      </c>
      <c r="H180" t="s">
        <v>20</v>
      </c>
      <c r="I180" t="s">
        <v>24</v>
      </c>
      <c r="J180" t="s">
        <v>24</v>
      </c>
      <c r="K180" t="s">
        <v>24</v>
      </c>
      <c r="L180" t="s">
        <v>24</v>
      </c>
      <c r="M180">
        <v>0.6</v>
      </c>
      <c r="N180" s="10">
        <v>371</v>
      </c>
      <c r="O180">
        <v>4.08</v>
      </c>
      <c r="P180">
        <v>51</v>
      </c>
      <c r="Q180">
        <v>74.400000000000006</v>
      </c>
      <c r="R180" s="10">
        <v>123</v>
      </c>
      <c r="S180">
        <v>325</v>
      </c>
      <c r="T180">
        <v>10.199999999999999</v>
      </c>
      <c r="U180">
        <v>4</v>
      </c>
    </row>
    <row r="181" spans="4:21" x14ac:dyDescent="0.3">
      <c r="D181">
        <v>2573</v>
      </c>
      <c r="E181" t="s">
        <v>23</v>
      </c>
      <c r="F181" t="s">
        <v>31</v>
      </c>
      <c r="G181">
        <v>16050</v>
      </c>
      <c r="H181" t="s">
        <v>20</v>
      </c>
      <c r="I181" t="s">
        <v>24</v>
      </c>
      <c r="J181" t="s">
        <v>21</v>
      </c>
      <c r="K181" t="s">
        <v>24</v>
      </c>
      <c r="L181" t="s">
        <v>24</v>
      </c>
      <c r="M181">
        <v>1.8</v>
      </c>
      <c r="N181">
        <v>396</v>
      </c>
      <c r="O181">
        <v>3.83</v>
      </c>
      <c r="P181">
        <v>39</v>
      </c>
      <c r="Q181">
        <v>102.3</v>
      </c>
      <c r="R181">
        <v>133</v>
      </c>
      <c r="S181">
        <v>278</v>
      </c>
      <c r="T181">
        <v>9.9</v>
      </c>
      <c r="U181">
        <v>4</v>
      </c>
    </row>
    <row r="182" spans="4:21" x14ac:dyDescent="0.3">
      <c r="D182">
        <v>2563</v>
      </c>
      <c r="E182" t="s">
        <v>23</v>
      </c>
      <c r="F182" t="s">
        <v>31</v>
      </c>
      <c r="G182">
        <v>15548</v>
      </c>
      <c r="H182" t="s">
        <v>20</v>
      </c>
      <c r="I182" t="s">
        <v>24</v>
      </c>
      <c r="J182" t="s">
        <v>24</v>
      </c>
      <c r="K182" t="s">
        <v>24</v>
      </c>
      <c r="L182" t="s">
        <v>24</v>
      </c>
      <c r="M182">
        <v>4.7</v>
      </c>
      <c r="N182">
        <v>478</v>
      </c>
      <c r="O182">
        <v>4.38</v>
      </c>
      <c r="P182">
        <v>44</v>
      </c>
      <c r="Q182">
        <v>237.15</v>
      </c>
      <c r="R182">
        <v>76</v>
      </c>
      <c r="S182">
        <v>175</v>
      </c>
      <c r="T182">
        <v>10.4</v>
      </c>
      <c r="U182">
        <v>3</v>
      </c>
    </row>
    <row r="183" spans="4:21" x14ac:dyDescent="0.3">
      <c r="D183">
        <v>2556</v>
      </c>
      <c r="E183" t="s">
        <v>23</v>
      </c>
      <c r="F183" t="s">
        <v>19</v>
      </c>
      <c r="G183">
        <v>16279</v>
      </c>
      <c r="H183" t="s">
        <v>20</v>
      </c>
      <c r="I183" t="s">
        <v>24</v>
      </c>
      <c r="J183" t="s">
        <v>21</v>
      </c>
      <c r="K183" t="s">
        <v>21</v>
      </c>
      <c r="L183" t="s">
        <v>24</v>
      </c>
      <c r="M183">
        <v>1.4</v>
      </c>
      <c r="N183">
        <v>248</v>
      </c>
      <c r="O183">
        <v>3.58</v>
      </c>
      <c r="P183">
        <v>63</v>
      </c>
      <c r="Q183">
        <v>75.95</v>
      </c>
      <c r="R183">
        <v>106</v>
      </c>
      <c r="S183">
        <v>79</v>
      </c>
      <c r="T183">
        <v>10.3</v>
      </c>
      <c r="U183">
        <v>4</v>
      </c>
    </row>
    <row r="184" spans="4:21" x14ac:dyDescent="0.3">
      <c r="D184">
        <v>2555</v>
      </c>
      <c r="E184" t="s">
        <v>23</v>
      </c>
      <c r="F184" t="s">
        <v>19</v>
      </c>
      <c r="G184">
        <v>20799</v>
      </c>
      <c r="H184" t="s">
        <v>20</v>
      </c>
      <c r="I184" t="s">
        <v>24</v>
      </c>
      <c r="J184" t="s">
        <v>21</v>
      </c>
      <c r="K184" t="s">
        <v>24</v>
      </c>
      <c r="L184" t="s">
        <v>24</v>
      </c>
      <c r="M184">
        <v>0.6</v>
      </c>
      <c r="N184" s="10">
        <v>371</v>
      </c>
      <c r="O184">
        <v>3.69</v>
      </c>
      <c r="P184">
        <v>161</v>
      </c>
      <c r="Q184">
        <v>26.35</v>
      </c>
      <c r="R184" s="10">
        <v>123</v>
      </c>
      <c r="S184">
        <v>539</v>
      </c>
      <c r="T184">
        <v>9.9</v>
      </c>
      <c r="U184">
        <v>2</v>
      </c>
    </row>
    <row r="185" spans="4:21" x14ac:dyDescent="0.3">
      <c r="D185">
        <v>2241</v>
      </c>
      <c r="E185" t="s">
        <v>30</v>
      </c>
      <c r="F185" t="s">
        <v>31</v>
      </c>
      <c r="G185">
        <v>14705</v>
      </c>
      <c r="H185" t="s">
        <v>20</v>
      </c>
      <c r="I185" t="s">
        <v>24</v>
      </c>
      <c r="J185" t="s">
        <v>24</v>
      </c>
      <c r="K185" t="s">
        <v>24</v>
      </c>
      <c r="L185" t="s">
        <v>24</v>
      </c>
      <c r="M185">
        <v>0.5</v>
      </c>
      <c r="N185">
        <v>201</v>
      </c>
      <c r="O185">
        <v>3.73</v>
      </c>
      <c r="P185">
        <v>44</v>
      </c>
      <c r="Q185">
        <v>54.25</v>
      </c>
      <c r="R185">
        <v>145</v>
      </c>
      <c r="S185">
        <v>445</v>
      </c>
      <c r="T185">
        <v>10.1</v>
      </c>
      <c r="U185">
        <v>2</v>
      </c>
    </row>
    <row r="186" spans="4:21" x14ac:dyDescent="0.3">
      <c r="D186">
        <v>974</v>
      </c>
      <c r="E186" t="s">
        <v>18</v>
      </c>
      <c r="F186" t="s">
        <v>31</v>
      </c>
      <c r="G186">
        <v>13736</v>
      </c>
      <c r="H186" t="s">
        <v>20</v>
      </c>
      <c r="I186" t="s">
        <v>24</v>
      </c>
      <c r="J186" t="s">
        <v>21</v>
      </c>
      <c r="K186" t="s">
        <v>24</v>
      </c>
      <c r="L186" t="s">
        <v>24</v>
      </c>
      <c r="M186">
        <v>11</v>
      </c>
      <c r="N186">
        <v>674</v>
      </c>
      <c r="O186">
        <v>3.55</v>
      </c>
      <c r="P186" s="19">
        <v>290</v>
      </c>
      <c r="Q186">
        <v>167.4</v>
      </c>
      <c r="R186">
        <v>140</v>
      </c>
      <c r="S186">
        <v>471</v>
      </c>
      <c r="T186">
        <v>9.8000000000000007</v>
      </c>
      <c r="U186">
        <v>3</v>
      </c>
    </row>
    <row r="187" spans="4:21" x14ac:dyDescent="0.3">
      <c r="D187">
        <v>2527</v>
      </c>
      <c r="E187" t="s">
        <v>23</v>
      </c>
      <c r="F187" t="s">
        <v>19</v>
      </c>
      <c r="G187">
        <v>17664</v>
      </c>
      <c r="H187" t="s">
        <v>20</v>
      </c>
      <c r="I187" t="s">
        <v>24</v>
      </c>
      <c r="J187" t="s">
        <v>24</v>
      </c>
      <c r="K187" t="s">
        <v>24</v>
      </c>
      <c r="L187" t="s">
        <v>24</v>
      </c>
      <c r="M187">
        <v>0.8</v>
      </c>
      <c r="N187">
        <v>256</v>
      </c>
      <c r="O187">
        <v>3.54</v>
      </c>
      <c r="P187">
        <v>42</v>
      </c>
      <c r="Q187">
        <v>74.400000000000006</v>
      </c>
      <c r="R187">
        <v>94</v>
      </c>
      <c r="S187">
        <v>192</v>
      </c>
      <c r="T187">
        <v>10.5</v>
      </c>
      <c r="U187">
        <v>3</v>
      </c>
    </row>
    <row r="188" spans="4:21" x14ac:dyDescent="0.3">
      <c r="D188">
        <v>1576</v>
      </c>
      <c r="E188" t="s">
        <v>18</v>
      </c>
      <c r="F188" t="s">
        <v>19</v>
      </c>
      <c r="G188">
        <v>25873</v>
      </c>
      <c r="H188" t="s">
        <v>20</v>
      </c>
      <c r="I188" t="s">
        <v>24</v>
      </c>
      <c r="J188" t="s">
        <v>24</v>
      </c>
      <c r="K188" t="s">
        <v>21</v>
      </c>
      <c r="L188" t="s">
        <v>27</v>
      </c>
      <c r="M188">
        <v>2</v>
      </c>
      <c r="N188">
        <v>225</v>
      </c>
      <c r="O188">
        <v>3.53</v>
      </c>
      <c r="P188">
        <v>51</v>
      </c>
      <c r="Q188">
        <v>69.75</v>
      </c>
      <c r="R188">
        <v>62</v>
      </c>
      <c r="S188">
        <v>200</v>
      </c>
      <c r="T188">
        <v>12.7</v>
      </c>
      <c r="U188">
        <v>3</v>
      </c>
    </row>
    <row r="189" spans="4:21" x14ac:dyDescent="0.3">
      <c r="D189">
        <v>733</v>
      </c>
      <c r="E189" t="s">
        <v>18</v>
      </c>
      <c r="F189" t="s">
        <v>31</v>
      </c>
      <c r="G189">
        <v>13073</v>
      </c>
      <c r="H189" t="s">
        <v>20</v>
      </c>
      <c r="I189" t="s">
        <v>24</v>
      </c>
      <c r="J189" t="s">
        <v>21</v>
      </c>
      <c r="K189" t="s">
        <v>24</v>
      </c>
      <c r="L189" t="s">
        <v>24</v>
      </c>
      <c r="M189">
        <v>14</v>
      </c>
      <c r="N189">
        <v>808</v>
      </c>
      <c r="O189">
        <v>3.43</v>
      </c>
      <c r="P189">
        <v>251</v>
      </c>
      <c r="Q189">
        <v>153.44999999999999</v>
      </c>
      <c r="R189">
        <v>137</v>
      </c>
      <c r="S189">
        <v>268</v>
      </c>
      <c r="T189">
        <v>11.5</v>
      </c>
      <c r="U189">
        <v>3</v>
      </c>
    </row>
    <row r="190" spans="4:21" x14ac:dyDescent="0.3">
      <c r="D190">
        <v>2332</v>
      </c>
      <c r="E190" t="s">
        <v>23</v>
      </c>
      <c r="F190" t="s">
        <v>19</v>
      </c>
      <c r="G190">
        <v>22873</v>
      </c>
      <c r="H190" t="s">
        <v>20</v>
      </c>
      <c r="I190" t="s">
        <v>24</v>
      </c>
      <c r="J190" t="s">
        <v>21</v>
      </c>
      <c r="K190" t="s">
        <v>24</v>
      </c>
      <c r="L190" t="s">
        <v>24</v>
      </c>
      <c r="M190">
        <v>0.7</v>
      </c>
      <c r="N190">
        <v>187</v>
      </c>
      <c r="O190">
        <v>3.48</v>
      </c>
      <c r="P190">
        <v>41</v>
      </c>
      <c r="Q190">
        <v>120.9</v>
      </c>
      <c r="R190">
        <v>98</v>
      </c>
      <c r="S190">
        <v>164</v>
      </c>
      <c r="T190">
        <v>11</v>
      </c>
      <c r="U190">
        <v>4</v>
      </c>
    </row>
    <row r="191" spans="4:21" x14ac:dyDescent="0.3">
      <c r="D191">
        <v>2255</v>
      </c>
      <c r="E191" t="s">
        <v>23</v>
      </c>
      <c r="F191" t="s">
        <v>19</v>
      </c>
      <c r="G191">
        <v>22642</v>
      </c>
      <c r="H191" t="s">
        <v>20</v>
      </c>
      <c r="I191" t="s">
        <v>24</v>
      </c>
      <c r="J191" t="s">
        <v>24</v>
      </c>
      <c r="K191" t="s">
        <v>24</v>
      </c>
      <c r="L191" t="s">
        <v>24</v>
      </c>
      <c r="M191">
        <v>0.6</v>
      </c>
      <c r="N191">
        <v>213</v>
      </c>
      <c r="O191">
        <v>4.07</v>
      </c>
      <c r="P191">
        <v>12</v>
      </c>
      <c r="Q191">
        <v>57.35</v>
      </c>
      <c r="R191">
        <v>68</v>
      </c>
      <c r="S191">
        <v>240</v>
      </c>
      <c r="T191">
        <v>11</v>
      </c>
      <c r="U191">
        <v>1</v>
      </c>
    </row>
    <row r="192" spans="4:21" x14ac:dyDescent="0.3">
      <c r="D192">
        <v>2171</v>
      </c>
      <c r="E192" t="s">
        <v>23</v>
      </c>
      <c r="F192" t="s">
        <v>19</v>
      </c>
      <c r="G192">
        <v>26580</v>
      </c>
      <c r="H192" t="s">
        <v>20</v>
      </c>
      <c r="I192" t="s">
        <v>24</v>
      </c>
      <c r="J192" t="s">
        <v>24</v>
      </c>
      <c r="K192" t="s">
        <v>24</v>
      </c>
      <c r="L192" t="s">
        <v>27</v>
      </c>
      <c r="M192">
        <v>0.6</v>
      </c>
      <c r="N192" s="10">
        <v>371</v>
      </c>
      <c r="O192">
        <v>3.33</v>
      </c>
      <c r="P192">
        <v>14</v>
      </c>
      <c r="Q192">
        <v>85.25</v>
      </c>
      <c r="R192" s="10">
        <v>123</v>
      </c>
      <c r="S192">
        <v>259</v>
      </c>
      <c r="T192">
        <v>10.1</v>
      </c>
      <c r="U192">
        <v>4</v>
      </c>
    </row>
    <row r="193" spans="4:21" x14ac:dyDescent="0.3">
      <c r="D193">
        <v>904</v>
      </c>
      <c r="E193" t="s">
        <v>18</v>
      </c>
      <c r="F193" t="s">
        <v>19</v>
      </c>
      <c r="G193">
        <v>22388</v>
      </c>
      <c r="H193" t="s">
        <v>20</v>
      </c>
      <c r="I193" t="s">
        <v>24</v>
      </c>
      <c r="J193" t="s">
        <v>21</v>
      </c>
      <c r="K193" t="s">
        <v>24</v>
      </c>
      <c r="L193" t="s">
        <v>24</v>
      </c>
      <c r="M193">
        <v>3.9</v>
      </c>
      <c r="N193">
        <v>396</v>
      </c>
      <c r="O193">
        <v>3.2</v>
      </c>
      <c r="P193">
        <v>58</v>
      </c>
      <c r="Q193">
        <v>153.44999999999999</v>
      </c>
      <c r="R193">
        <v>131</v>
      </c>
      <c r="S193">
        <v>156</v>
      </c>
      <c r="T193">
        <v>10</v>
      </c>
      <c r="U193">
        <v>4</v>
      </c>
    </row>
    <row r="194" spans="4:21" x14ac:dyDescent="0.3">
      <c r="D194">
        <v>2216</v>
      </c>
      <c r="E194" t="s">
        <v>23</v>
      </c>
      <c r="F194" t="s">
        <v>31</v>
      </c>
      <c r="G194">
        <v>19221</v>
      </c>
      <c r="H194" t="s">
        <v>20</v>
      </c>
      <c r="I194" t="s">
        <v>24</v>
      </c>
      <c r="J194" t="s">
        <v>21</v>
      </c>
      <c r="K194" t="s">
        <v>21</v>
      </c>
      <c r="L194" t="s">
        <v>24</v>
      </c>
      <c r="M194">
        <v>0.7</v>
      </c>
      <c r="N194">
        <v>252</v>
      </c>
      <c r="O194">
        <v>4.01</v>
      </c>
      <c r="P194">
        <v>11</v>
      </c>
      <c r="Q194">
        <v>72.849999999999994</v>
      </c>
      <c r="R194">
        <v>58</v>
      </c>
      <c r="S194">
        <v>309</v>
      </c>
      <c r="T194">
        <v>9.5</v>
      </c>
      <c r="U194">
        <v>2</v>
      </c>
    </row>
    <row r="195" spans="4:21" x14ac:dyDescent="0.3">
      <c r="D195">
        <v>2224</v>
      </c>
      <c r="E195" t="s">
        <v>23</v>
      </c>
      <c r="F195" t="s">
        <v>31</v>
      </c>
      <c r="G195">
        <v>18176</v>
      </c>
      <c r="H195" t="s">
        <v>26</v>
      </c>
      <c r="I195" t="s">
        <v>24</v>
      </c>
      <c r="J195" t="s">
        <v>21</v>
      </c>
      <c r="K195" t="s">
        <v>24</v>
      </c>
      <c r="L195" t="s">
        <v>24</v>
      </c>
      <c r="M195">
        <v>0.9</v>
      </c>
      <c r="N195">
        <v>346</v>
      </c>
      <c r="O195">
        <v>3.37</v>
      </c>
      <c r="P195">
        <v>81</v>
      </c>
      <c r="Q195">
        <v>122.45</v>
      </c>
      <c r="R195">
        <v>90</v>
      </c>
      <c r="S195">
        <v>298</v>
      </c>
      <c r="T195">
        <v>10</v>
      </c>
      <c r="U195">
        <v>2</v>
      </c>
    </row>
    <row r="196" spans="4:21" x14ac:dyDescent="0.3">
      <c r="D196">
        <v>2195</v>
      </c>
      <c r="E196" t="s">
        <v>23</v>
      </c>
      <c r="F196" t="s">
        <v>31</v>
      </c>
      <c r="G196">
        <v>19327</v>
      </c>
      <c r="H196" t="s">
        <v>20</v>
      </c>
      <c r="I196" t="s">
        <v>24</v>
      </c>
      <c r="J196" t="s">
        <v>24</v>
      </c>
      <c r="K196" t="s">
        <v>24</v>
      </c>
      <c r="L196" t="s">
        <v>24</v>
      </c>
      <c r="M196">
        <v>1.3</v>
      </c>
      <c r="N196" s="10">
        <v>371</v>
      </c>
      <c r="O196">
        <v>3.76</v>
      </c>
      <c r="P196">
        <v>27</v>
      </c>
      <c r="Q196">
        <v>100.75</v>
      </c>
      <c r="R196" s="10">
        <v>123</v>
      </c>
      <c r="S196">
        <v>114</v>
      </c>
      <c r="T196">
        <v>10.3</v>
      </c>
      <c r="U196">
        <v>3</v>
      </c>
    </row>
    <row r="197" spans="4:21" x14ac:dyDescent="0.3">
      <c r="D197">
        <v>2176</v>
      </c>
      <c r="E197" t="s">
        <v>23</v>
      </c>
      <c r="F197" t="s">
        <v>31</v>
      </c>
      <c r="G197">
        <v>17263</v>
      </c>
      <c r="H197" t="s">
        <v>20</v>
      </c>
      <c r="I197" t="s">
        <v>24</v>
      </c>
      <c r="J197" t="s">
        <v>24</v>
      </c>
      <c r="K197" t="s">
        <v>24</v>
      </c>
      <c r="L197" t="s">
        <v>24</v>
      </c>
      <c r="M197">
        <v>1.2</v>
      </c>
      <c r="N197">
        <v>232</v>
      </c>
      <c r="O197">
        <v>3.98</v>
      </c>
      <c r="P197">
        <v>11</v>
      </c>
      <c r="Q197">
        <v>100.75</v>
      </c>
      <c r="R197">
        <v>99</v>
      </c>
      <c r="S197">
        <v>223</v>
      </c>
      <c r="T197">
        <v>9.9</v>
      </c>
      <c r="U197">
        <v>3</v>
      </c>
    </row>
    <row r="198" spans="4:21" x14ac:dyDescent="0.3">
      <c r="D198">
        <v>2178</v>
      </c>
      <c r="E198" t="s">
        <v>23</v>
      </c>
      <c r="F198" t="s">
        <v>19</v>
      </c>
      <c r="G198">
        <v>18337</v>
      </c>
      <c r="H198" t="s">
        <v>20</v>
      </c>
      <c r="I198" t="s">
        <v>24</v>
      </c>
      <c r="J198" t="s">
        <v>24</v>
      </c>
      <c r="K198" t="s">
        <v>21</v>
      </c>
      <c r="L198" t="s">
        <v>24</v>
      </c>
      <c r="M198">
        <v>0.5</v>
      </c>
      <c r="N198">
        <v>400</v>
      </c>
      <c r="O198">
        <v>3.4</v>
      </c>
      <c r="P198">
        <v>9</v>
      </c>
      <c r="Q198">
        <v>96.1</v>
      </c>
      <c r="R198">
        <v>55</v>
      </c>
      <c r="S198">
        <v>356</v>
      </c>
      <c r="T198">
        <v>10.199999999999999</v>
      </c>
      <c r="U198">
        <v>3</v>
      </c>
    </row>
    <row r="199" spans="4:21" x14ac:dyDescent="0.3">
      <c r="D199">
        <v>1786</v>
      </c>
      <c r="E199" t="s">
        <v>18</v>
      </c>
      <c r="F199" t="s">
        <v>31</v>
      </c>
      <c r="G199">
        <v>25329</v>
      </c>
      <c r="H199" t="s">
        <v>20</v>
      </c>
      <c r="I199" t="s">
        <v>24</v>
      </c>
      <c r="J199" t="s">
        <v>21</v>
      </c>
      <c r="K199" t="s">
        <v>24</v>
      </c>
      <c r="L199" t="s">
        <v>24</v>
      </c>
      <c r="M199">
        <v>0.9</v>
      </c>
      <c r="N199">
        <v>404</v>
      </c>
      <c r="O199">
        <v>3.43</v>
      </c>
      <c r="P199">
        <v>34</v>
      </c>
      <c r="Q199">
        <v>79.05</v>
      </c>
      <c r="R199">
        <v>224</v>
      </c>
      <c r="S199">
        <v>236</v>
      </c>
      <c r="T199">
        <v>9.9</v>
      </c>
      <c r="U199">
        <v>3</v>
      </c>
    </row>
    <row r="200" spans="4:21" x14ac:dyDescent="0.3">
      <c r="D200">
        <v>1080</v>
      </c>
      <c r="E200" t="s">
        <v>18</v>
      </c>
      <c r="F200" t="s">
        <v>31</v>
      </c>
      <c r="G200">
        <v>15037</v>
      </c>
      <c r="H200" t="s">
        <v>20</v>
      </c>
      <c r="I200" t="s">
        <v>24</v>
      </c>
      <c r="J200" t="s">
        <v>24</v>
      </c>
      <c r="K200" t="s">
        <v>24</v>
      </c>
      <c r="L200" t="s">
        <v>24</v>
      </c>
      <c r="M200">
        <v>5.9</v>
      </c>
      <c r="N200">
        <v>1276</v>
      </c>
      <c r="O200">
        <v>3.85</v>
      </c>
      <c r="P200">
        <v>141</v>
      </c>
      <c r="Q200">
        <v>203.05</v>
      </c>
      <c r="R200">
        <v>157</v>
      </c>
      <c r="S200">
        <v>216</v>
      </c>
      <c r="T200">
        <v>10.7</v>
      </c>
      <c r="U200">
        <v>3</v>
      </c>
    </row>
    <row r="201" spans="4:21" x14ac:dyDescent="0.3">
      <c r="D201">
        <v>2168</v>
      </c>
      <c r="E201" t="s">
        <v>23</v>
      </c>
      <c r="F201" t="s">
        <v>19</v>
      </c>
      <c r="G201">
        <v>21610</v>
      </c>
      <c r="H201" t="s">
        <v>20</v>
      </c>
      <c r="I201" t="s">
        <v>24</v>
      </c>
      <c r="J201" t="s">
        <v>24</v>
      </c>
      <c r="K201" t="s">
        <v>24</v>
      </c>
      <c r="L201" t="s">
        <v>24</v>
      </c>
      <c r="M201">
        <v>0.5</v>
      </c>
      <c r="N201" s="10">
        <v>371</v>
      </c>
      <c r="O201">
        <v>3.68</v>
      </c>
      <c r="P201">
        <v>20</v>
      </c>
      <c r="Q201">
        <v>55.8</v>
      </c>
      <c r="R201" s="10">
        <v>123</v>
      </c>
      <c r="S201">
        <v>146</v>
      </c>
      <c r="T201">
        <v>10.4</v>
      </c>
      <c r="U201">
        <v>3</v>
      </c>
    </row>
    <row r="202" spans="4:21" x14ac:dyDescent="0.3">
      <c r="D202">
        <v>790</v>
      </c>
      <c r="E202" t="s">
        <v>18</v>
      </c>
      <c r="F202" t="s">
        <v>31</v>
      </c>
      <c r="G202">
        <v>13178</v>
      </c>
      <c r="H202" t="s">
        <v>20</v>
      </c>
      <c r="I202" t="s">
        <v>24</v>
      </c>
      <c r="J202" t="s">
        <v>21</v>
      </c>
      <c r="K202" t="s">
        <v>24</v>
      </c>
      <c r="L202" t="s">
        <v>24</v>
      </c>
      <c r="M202">
        <v>11.4</v>
      </c>
      <c r="N202">
        <v>608</v>
      </c>
      <c r="O202">
        <v>3.31</v>
      </c>
      <c r="P202">
        <v>65</v>
      </c>
      <c r="Q202">
        <v>151.9</v>
      </c>
      <c r="R202">
        <v>210</v>
      </c>
      <c r="S202">
        <v>298</v>
      </c>
      <c r="T202">
        <v>10.8</v>
      </c>
      <c r="U202">
        <v>4</v>
      </c>
    </row>
    <row r="203" spans="4:21" x14ac:dyDescent="0.3">
      <c r="D203">
        <v>2170</v>
      </c>
      <c r="E203" t="s">
        <v>23</v>
      </c>
      <c r="F203" t="s">
        <v>19</v>
      </c>
      <c r="G203">
        <v>12636</v>
      </c>
      <c r="H203" t="s">
        <v>20</v>
      </c>
      <c r="I203" t="s">
        <v>24</v>
      </c>
      <c r="J203" t="s">
        <v>24</v>
      </c>
      <c r="K203" t="s">
        <v>24</v>
      </c>
      <c r="L203" t="s">
        <v>24</v>
      </c>
      <c r="M203">
        <v>0.5</v>
      </c>
      <c r="N203" s="10">
        <v>371</v>
      </c>
      <c r="O203">
        <v>3.89</v>
      </c>
      <c r="P203">
        <v>29</v>
      </c>
      <c r="Q203">
        <v>66.650000000000006</v>
      </c>
      <c r="R203" s="10">
        <v>123</v>
      </c>
      <c r="S203">
        <v>423</v>
      </c>
      <c r="T203">
        <v>10.1</v>
      </c>
      <c r="U203">
        <v>1</v>
      </c>
    </row>
    <row r="204" spans="4:21" x14ac:dyDescent="0.3">
      <c r="D204">
        <v>2157</v>
      </c>
      <c r="E204" t="s">
        <v>23</v>
      </c>
      <c r="F204" t="s">
        <v>31</v>
      </c>
      <c r="G204">
        <v>15601</v>
      </c>
      <c r="H204" t="s">
        <v>20</v>
      </c>
      <c r="I204" t="s">
        <v>24</v>
      </c>
      <c r="J204" t="s">
        <v>24</v>
      </c>
      <c r="K204" t="s">
        <v>24</v>
      </c>
      <c r="L204" t="s">
        <v>24</v>
      </c>
      <c r="M204">
        <v>1.6</v>
      </c>
      <c r="N204">
        <v>215</v>
      </c>
      <c r="O204">
        <v>4.17</v>
      </c>
      <c r="P204">
        <v>67</v>
      </c>
      <c r="Q204">
        <v>134.85</v>
      </c>
      <c r="R204">
        <v>85</v>
      </c>
      <c r="S204">
        <v>176</v>
      </c>
      <c r="T204">
        <v>9.6</v>
      </c>
      <c r="U204">
        <v>3</v>
      </c>
    </row>
    <row r="205" spans="4:21" x14ac:dyDescent="0.3">
      <c r="D205">
        <v>1235</v>
      </c>
      <c r="E205" t="s">
        <v>18</v>
      </c>
      <c r="F205" t="s">
        <v>19</v>
      </c>
      <c r="G205">
        <v>23241</v>
      </c>
      <c r="H205" t="s">
        <v>20</v>
      </c>
      <c r="I205" t="s">
        <v>24</v>
      </c>
      <c r="J205" t="s">
        <v>24</v>
      </c>
      <c r="K205" t="s">
        <v>21</v>
      </c>
      <c r="L205" t="s">
        <v>24</v>
      </c>
      <c r="M205">
        <v>3.8</v>
      </c>
      <c r="N205">
        <v>426</v>
      </c>
      <c r="O205">
        <v>3.22</v>
      </c>
      <c r="P205">
        <v>96</v>
      </c>
      <c r="Q205">
        <v>210.8</v>
      </c>
      <c r="R205">
        <v>113</v>
      </c>
      <c r="S205">
        <v>228</v>
      </c>
      <c r="T205">
        <v>10.6</v>
      </c>
      <c r="U205">
        <v>2</v>
      </c>
    </row>
    <row r="206" spans="4:21" x14ac:dyDescent="0.3">
      <c r="D206">
        <v>2050</v>
      </c>
      <c r="E206" t="s">
        <v>23</v>
      </c>
      <c r="F206" t="s">
        <v>31</v>
      </c>
      <c r="G206">
        <v>20684</v>
      </c>
      <c r="H206" t="s">
        <v>20</v>
      </c>
      <c r="I206" t="s">
        <v>24</v>
      </c>
      <c r="J206" t="s">
        <v>21</v>
      </c>
      <c r="K206" t="s">
        <v>24</v>
      </c>
      <c r="L206" t="s">
        <v>24</v>
      </c>
      <c r="M206">
        <v>0.9</v>
      </c>
      <c r="N206">
        <v>360</v>
      </c>
      <c r="O206">
        <v>3.65</v>
      </c>
      <c r="P206">
        <v>72</v>
      </c>
      <c r="Q206">
        <v>94.55</v>
      </c>
      <c r="R206">
        <v>154</v>
      </c>
      <c r="S206">
        <v>269</v>
      </c>
      <c r="T206">
        <v>9.6999999999999993</v>
      </c>
      <c r="U206">
        <v>4</v>
      </c>
    </row>
    <row r="207" spans="4:21" x14ac:dyDescent="0.3">
      <c r="D207">
        <v>597</v>
      </c>
      <c r="E207" t="s">
        <v>18</v>
      </c>
      <c r="F207" t="s">
        <v>31</v>
      </c>
      <c r="G207">
        <v>16898</v>
      </c>
      <c r="H207" t="s">
        <v>20</v>
      </c>
      <c r="I207" t="s">
        <v>24</v>
      </c>
      <c r="J207" t="s">
        <v>21</v>
      </c>
      <c r="K207" t="s">
        <v>24</v>
      </c>
      <c r="L207" t="s">
        <v>24</v>
      </c>
      <c r="M207">
        <v>4.5</v>
      </c>
      <c r="N207">
        <v>372</v>
      </c>
      <c r="O207">
        <v>3.38</v>
      </c>
      <c r="P207">
        <v>227</v>
      </c>
      <c r="Q207">
        <v>167.4</v>
      </c>
      <c r="R207">
        <v>135</v>
      </c>
      <c r="S207">
        <v>240</v>
      </c>
      <c r="T207">
        <v>12.4</v>
      </c>
      <c r="U207">
        <v>3</v>
      </c>
    </row>
    <row r="208" spans="4:21" x14ac:dyDescent="0.3">
      <c r="D208">
        <v>334</v>
      </c>
      <c r="E208" t="s">
        <v>18</v>
      </c>
      <c r="F208" t="s">
        <v>19</v>
      </c>
      <c r="G208">
        <v>22369</v>
      </c>
      <c r="H208" t="s">
        <v>20</v>
      </c>
      <c r="I208" t="s">
        <v>21</v>
      </c>
      <c r="J208" t="s">
        <v>21</v>
      </c>
      <c r="K208" t="s">
        <v>24</v>
      </c>
      <c r="L208" t="s">
        <v>21</v>
      </c>
      <c r="M208">
        <v>14.1</v>
      </c>
      <c r="N208">
        <v>448</v>
      </c>
      <c r="O208">
        <v>2.4300000000000002</v>
      </c>
      <c r="P208">
        <v>123</v>
      </c>
      <c r="Q208">
        <v>134</v>
      </c>
      <c r="R208">
        <v>155</v>
      </c>
      <c r="S208">
        <v>210</v>
      </c>
      <c r="T208">
        <v>11</v>
      </c>
      <c r="U208">
        <v>4</v>
      </c>
    </row>
    <row r="209" spans="3:21" x14ac:dyDescent="0.3">
      <c r="D209">
        <v>1702</v>
      </c>
      <c r="E209" t="s">
        <v>23</v>
      </c>
      <c r="F209" t="s">
        <v>19</v>
      </c>
      <c r="G209">
        <v>18806</v>
      </c>
      <c r="H209" t="s">
        <v>20</v>
      </c>
      <c r="I209" t="s">
        <v>24</v>
      </c>
      <c r="J209" t="s">
        <v>24</v>
      </c>
      <c r="K209" t="s">
        <v>24</v>
      </c>
      <c r="L209" t="s">
        <v>24</v>
      </c>
      <c r="M209">
        <v>1.1000000000000001</v>
      </c>
      <c r="N209">
        <v>414</v>
      </c>
      <c r="O209">
        <v>3.44</v>
      </c>
      <c r="P209">
        <v>80</v>
      </c>
      <c r="Q209">
        <v>99</v>
      </c>
      <c r="R209">
        <v>55</v>
      </c>
      <c r="S209">
        <v>271</v>
      </c>
      <c r="T209">
        <v>9.6</v>
      </c>
      <c r="U209">
        <v>1</v>
      </c>
    </row>
    <row r="210" spans="3:21" x14ac:dyDescent="0.3">
      <c r="D210">
        <v>1525</v>
      </c>
      <c r="E210" t="s">
        <v>23</v>
      </c>
      <c r="F210" t="s">
        <v>19</v>
      </c>
      <c r="G210">
        <v>14025</v>
      </c>
      <c r="H210" t="s">
        <v>20</v>
      </c>
      <c r="I210" t="s">
        <v>24</v>
      </c>
      <c r="J210" t="s">
        <v>24</v>
      </c>
      <c r="K210" t="s">
        <v>24</v>
      </c>
      <c r="L210" t="s">
        <v>24</v>
      </c>
      <c r="M210">
        <v>0.5</v>
      </c>
      <c r="N210">
        <v>226</v>
      </c>
      <c r="O210">
        <v>2.93</v>
      </c>
      <c r="P210">
        <v>22</v>
      </c>
      <c r="Q210">
        <v>58</v>
      </c>
      <c r="R210">
        <v>85</v>
      </c>
      <c r="S210">
        <v>153</v>
      </c>
      <c r="T210">
        <v>9.8000000000000007</v>
      </c>
      <c r="U210">
        <v>1</v>
      </c>
    </row>
    <row r="211" spans="3:21" x14ac:dyDescent="0.3">
      <c r="D211">
        <v>1401</v>
      </c>
      <c r="E211" t="s">
        <v>23</v>
      </c>
      <c r="F211" t="s">
        <v>19</v>
      </c>
      <c r="G211">
        <v>16929</v>
      </c>
      <c r="H211" t="s">
        <v>20</v>
      </c>
      <c r="I211" t="s">
        <v>24</v>
      </c>
      <c r="J211" t="s">
        <v>24</v>
      </c>
      <c r="K211" t="s">
        <v>24</v>
      </c>
      <c r="L211" t="s">
        <v>24</v>
      </c>
      <c r="M211">
        <v>0.8</v>
      </c>
      <c r="N211">
        <v>253</v>
      </c>
      <c r="O211">
        <v>3.48</v>
      </c>
      <c r="P211">
        <v>65</v>
      </c>
      <c r="Q211">
        <v>57</v>
      </c>
      <c r="R211">
        <v>80</v>
      </c>
      <c r="S211">
        <v>252</v>
      </c>
      <c r="T211">
        <v>10</v>
      </c>
      <c r="U211">
        <v>1</v>
      </c>
    </row>
    <row r="214" spans="3:21" x14ac:dyDescent="0.3">
      <c r="C214" t="s">
        <v>47</v>
      </c>
      <c r="D214" s="3">
        <f>AVERAGE(D$3:D$211)</f>
        <v>2269.22009569378</v>
      </c>
      <c r="E214">
        <v>2.0861244019138754</v>
      </c>
      <c r="F214">
        <v>1.4976076555023923</v>
      </c>
      <c r="G214">
        <v>50.148325358851672</v>
      </c>
      <c r="H214">
        <v>1.1339712918660287</v>
      </c>
      <c r="I214">
        <v>1.0813397129186604</v>
      </c>
      <c r="J214">
        <v>1.5071770334928229</v>
      </c>
      <c r="K214">
        <v>1.2918660287081341</v>
      </c>
      <c r="L214">
        <v>1.2679425837320575</v>
      </c>
      <c r="M214">
        <v>3.280861244019138</v>
      </c>
      <c r="N214">
        <v>351.74641148325361</v>
      </c>
      <c r="O214">
        <v>3.5641626794258405</v>
      </c>
      <c r="P214">
        <v>93.559808612440193</v>
      </c>
      <c r="Q214">
        <v>119.86569377990436</v>
      </c>
      <c r="R214">
        <v>123.20095693779905</v>
      </c>
      <c r="S214">
        <v>262.4736842105263</v>
      </c>
      <c r="T214">
        <v>10.894736842105264</v>
      </c>
    </row>
    <row r="216" spans="3:21" ht="15.6" x14ac:dyDescent="0.3">
      <c r="C216" t="s">
        <v>48</v>
      </c>
      <c r="D216" s="4">
        <f>STDEV(D$3:D$211)</f>
        <v>1237.3502898478384</v>
      </c>
      <c r="E216">
        <v>0.9816826233112711</v>
      </c>
      <c r="F216">
        <v>0.5011947448335865</v>
      </c>
      <c r="G216">
        <v>9.9692801978309067</v>
      </c>
      <c r="H216">
        <v>0.3414392883565382</v>
      </c>
      <c r="I216">
        <v>0.27401243023796773</v>
      </c>
      <c r="J216">
        <v>0.50114884577722996</v>
      </c>
      <c r="K216">
        <v>0.45571252456162098</v>
      </c>
      <c r="L216">
        <v>0.60046142237819589</v>
      </c>
      <c r="M216">
        <v>4.3495266348190551</v>
      </c>
      <c r="N216">
        <v>161.25668679946702</v>
      </c>
      <c r="O216">
        <v>0.41103924614285764</v>
      </c>
      <c r="P216">
        <v>72.782391097087128</v>
      </c>
      <c r="Q216">
        <v>51.013132562775496</v>
      </c>
      <c r="R216">
        <v>54.331141012270777</v>
      </c>
      <c r="S216">
        <v>101.9340403545153</v>
      </c>
      <c r="T216">
        <v>1.0270481659701614</v>
      </c>
    </row>
    <row r="219" spans="3:21" x14ac:dyDescent="0.3">
      <c r="C219" t="s">
        <v>49</v>
      </c>
      <c r="D219">
        <f>MIN(D$3:D$211)</f>
        <v>51</v>
      </c>
      <c r="E219">
        <v>1</v>
      </c>
      <c r="F219">
        <v>1</v>
      </c>
      <c r="G219">
        <v>28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0.3</v>
      </c>
      <c r="N219">
        <v>120</v>
      </c>
      <c r="O219">
        <v>2.27</v>
      </c>
      <c r="P219">
        <v>4</v>
      </c>
      <c r="Q219">
        <v>26.35</v>
      </c>
      <c r="R219">
        <v>46</v>
      </c>
      <c r="S219">
        <v>70</v>
      </c>
      <c r="T219">
        <v>9</v>
      </c>
      <c r="U219">
        <f>MIN(U$3:U$211)</f>
        <v>1</v>
      </c>
    </row>
    <row r="221" spans="3:21" x14ac:dyDescent="0.3">
      <c r="C221" t="s">
        <v>50</v>
      </c>
      <c r="D221" s="3">
        <f>QUARTILE(D$3:D$211,1)</f>
        <v>1212</v>
      </c>
      <c r="E221">
        <v>1</v>
      </c>
      <c r="F221">
        <v>1</v>
      </c>
      <c r="G221">
        <v>43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0.8</v>
      </c>
      <c r="N221">
        <v>252</v>
      </c>
      <c r="O221">
        <v>3.34</v>
      </c>
      <c r="P221">
        <v>41</v>
      </c>
      <c r="Q221">
        <v>77.5</v>
      </c>
      <c r="R221">
        <v>86</v>
      </c>
      <c r="S221">
        <v>190</v>
      </c>
      <c r="T221">
        <v>10.1</v>
      </c>
      <c r="U221">
        <f>QUARTILE(U$3:U$211,1)</f>
        <v>2</v>
      </c>
    </row>
    <row r="223" spans="3:21" x14ac:dyDescent="0.3">
      <c r="C223" t="s">
        <v>51</v>
      </c>
      <c r="D223" s="3">
        <f>MEDIAN(D$3:D$211)</f>
        <v>2400</v>
      </c>
      <c r="E223">
        <v>3</v>
      </c>
      <c r="F223">
        <v>1</v>
      </c>
      <c r="G223">
        <v>50</v>
      </c>
      <c r="H223">
        <v>1</v>
      </c>
      <c r="I223">
        <v>1</v>
      </c>
      <c r="J223">
        <v>2</v>
      </c>
      <c r="K223">
        <v>1</v>
      </c>
      <c r="L223">
        <v>1</v>
      </c>
      <c r="M223">
        <v>1.3</v>
      </c>
      <c r="N223">
        <v>322</v>
      </c>
      <c r="O223">
        <v>3.57</v>
      </c>
      <c r="P223">
        <v>73</v>
      </c>
      <c r="Q223">
        <v>113.15</v>
      </c>
      <c r="R223">
        <v>118</v>
      </c>
      <c r="S223">
        <v>254</v>
      </c>
      <c r="T223">
        <v>10.7</v>
      </c>
      <c r="U223">
        <f>MEDIAN(U$3:U$211)</f>
        <v>3</v>
      </c>
    </row>
    <row r="225" spans="3:21" x14ac:dyDescent="0.3">
      <c r="C225" t="s">
        <v>52</v>
      </c>
      <c r="D225">
        <f>QUARTILE(D$3:D$211,3)</f>
        <v>3170</v>
      </c>
      <c r="E225">
        <v>3</v>
      </c>
      <c r="F225">
        <v>2</v>
      </c>
      <c r="G225">
        <v>56</v>
      </c>
      <c r="H225">
        <v>1</v>
      </c>
      <c r="I225">
        <v>1</v>
      </c>
      <c r="J225">
        <v>2</v>
      </c>
      <c r="K225">
        <v>2</v>
      </c>
      <c r="L225">
        <v>1</v>
      </c>
      <c r="M225">
        <v>3.4</v>
      </c>
      <c r="N225">
        <v>395</v>
      </c>
      <c r="O225">
        <v>3.85</v>
      </c>
      <c r="P225">
        <v>129</v>
      </c>
      <c r="Q225">
        <v>151.9</v>
      </c>
      <c r="R225">
        <v>143</v>
      </c>
      <c r="S225">
        <v>330</v>
      </c>
      <c r="T225">
        <v>11.4</v>
      </c>
      <c r="U225">
        <f>QUARTILE(U$3:U$211,3)</f>
        <v>4</v>
      </c>
    </row>
    <row r="227" spans="3:21" x14ac:dyDescent="0.3">
      <c r="C227" t="s">
        <v>53</v>
      </c>
      <c r="D227">
        <f>MAX(D$3:D$211)</f>
        <v>4556</v>
      </c>
      <c r="E227">
        <v>3</v>
      </c>
      <c r="F227">
        <v>2</v>
      </c>
      <c r="G227">
        <v>76</v>
      </c>
      <c r="H227">
        <v>2</v>
      </c>
      <c r="I227">
        <v>2</v>
      </c>
      <c r="J227">
        <v>2</v>
      </c>
      <c r="K227">
        <v>2</v>
      </c>
      <c r="L227">
        <v>3</v>
      </c>
      <c r="M227">
        <v>17.399999999999999</v>
      </c>
      <c r="N227">
        <v>1276</v>
      </c>
      <c r="O227">
        <v>4.6399999999999997</v>
      </c>
      <c r="P227">
        <v>290</v>
      </c>
      <c r="Q227">
        <v>246.45</v>
      </c>
      <c r="R227">
        <v>319</v>
      </c>
      <c r="S227">
        <v>563</v>
      </c>
      <c r="T227">
        <v>17.100000000000001</v>
      </c>
      <c r="U227">
        <f>MAX(U$3:U$211)</f>
        <v>4</v>
      </c>
    </row>
    <row r="229" spans="3:21" x14ac:dyDescent="0.3">
      <c r="C229" t="s">
        <v>54</v>
      </c>
      <c r="D229">
        <f>D227-D219</f>
        <v>4505</v>
      </c>
      <c r="E229">
        <v>2</v>
      </c>
      <c r="F229">
        <v>1</v>
      </c>
      <c r="G229">
        <v>48</v>
      </c>
      <c r="H229">
        <v>1</v>
      </c>
      <c r="I229">
        <v>1</v>
      </c>
      <c r="J229">
        <v>1</v>
      </c>
      <c r="K229">
        <v>1</v>
      </c>
      <c r="L229">
        <v>2</v>
      </c>
      <c r="M229">
        <v>17.099999999999998</v>
      </c>
      <c r="N229">
        <v>1156</v>
      </c>
      <c r="O229">
        <v>2.3699999999999997</v>
      </c>
      <c r="P229">
        <v>286</v>
      </c>
      <c r="Q229">
        <v>220.1</v>
      </c>
      <c r="R229">
        <v>273</v>
      </c>
      <c r="S229">
        <v>493</v>
      </c>
      <c r="T229">
        <v>8.1000000000000014</v>
      </c>
      <c r="U229">
        <f>U227-U219</f>
        <v>3</v>
      </c>
    </row>
    <row r="231" spans="3:21" x14ac:dyDescent="0.3">
      <c r="C231" t="s">
        <v>55</v>
      </c>
      <c r="D231">
        <f>D221-D225</f>
        <v>-1958</v>
      </c>
      <c r="E231">
        <v>-2</v>
      </c>
      <c r="F231">
        <v>-1</v>
      </c>
      <c r="G231">
        <v>-13</v>
      </c>
      <c r="H231">
        <v>0</v>
      </c>
      <c r="I231">
        <v>0</v>
      </c>
      <c r="J231">
        <v>-1</v>
      </c>
      <c r="K231">
        <v>-1</v>
      </c>
      <c r="L231">
        <v>0</v>
      </c>
      <c r="M231">
        <v>-2.5999999999999996</v>
      </c>
      <c r="N231">
        <v>-143</v>
      </c>
      <c r="O231">
        <v>-0.51000000000000023</v>
      </c>
      <c r="P231">
        <v>-88</v>
      </c>
      <c r="Q231">
        <v>-74.400000000000006</v>
      </c>
      <c r="R231">
        <v>-57</v>
      </c>
      <c r="S231">
        <v>-140</v>
      </c>
      <c r="T231">
        <v>-1.3000000000000007</v>
      </c>
      <c r="U231">
        <f>U221-U225</f>
        <v>-2</v>
      </c>
    </row>
    <row r="233" spans="3:21" x14ac:dyDescent="0.3">
      <c r="C233" t="s">
        <v>56</v>
      </c>
      <c r="D233">
        <f>MODE(D$3:D$211)</f>
        <v>3445</v>
      </c>
      <c r="E233">
        <v>3</v>
      </c>
      <c r="F233">
        <v>1</v>
      </c>
      <c r="G233">
        <v>52</v>
      </c>
      <c r="H233">
        <v>1</v>
      </c>
      <c r="I233">
        <v>1</v>
      </c>
      <c r="J233">
        <v>2</v>
      </c>
      <c r="K233">
        <v>1</v>
      </c>
      <c r="L233">
        <v>1</v>
      </c>
      <c r="M233">
        <v>0.6</v>
      </c>
      <c r="N233">
        <v>371</v>
      </c>
      <c r="O233">
        <v>3.6</v>
      </c>
      <c r="P233">
        <v>58</v>
      </c>
      <c r="Q233">
        <v>71.3</v>
      </c>
      <c r="R233">
        <v>123</v>
      </c>
      <c r="S233">
        <v>213</v>
      </c>
      <c r="T233">
        <v>11</v>
      </c>
      <c r="U233">
        <f>MODE(U$3:U$211)</f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33491-056A-4329-80D7-B719F18FE94D}">
  <dimension ref="C1:AE233"/>
  <sheetViews>
    <sheetView topLeftCell="K1" workbookViewId="0">
      <pane ySplit="2" topLeftCell="A3" activePane="bottomLeft" state="frozen"/>
      <selection activeCell="L1" sqref="L1"/>
      <selection pane="bottomLeft" activeCell="W207" sqref="W207"/>
    </sheetView>
  </sheetViews>
  <sheetFormatPr defaultRowHeight="14.4" x14ac:dyDescent="0.3"/>
  <cols>
    <col min="4" max="4" width="10.44140625" customWidth="1"/>
    <col min="5" max="5" width="10.33203125" customWidth="1"/>
    <col min="6" max="6" width="15.109375" customWidth="1"/>
    <col min="7" max="7" width="13.109375" customWidth="1"/>
    <col min="9" max="9" width="11.109375" customWidth="1"/>
    <col min="10" max="10" width="15.33203125" customWidth="1"/>
    <col min="11" max="11" width="13.88671875" customWidth="1"/>
    <col min="12" max="12" width="14" customWidth="1"/>
    <col min="13" max="13" width="13.88671875" customWidth="1"/>
    <col min="14" max="14" width="13.21875" customWidth="1"/>
    <col min="15" max="15" width="12.5546875" customWidth="1"/>
    <col min="16" max="16" width="11.88671875" customWidth="1"/>
    <col min="17" max="17" width="11.77734375" customWidth="1"/>
    <col min="18" max="18" width="12.21875" customWidth="1"/>
    <col min="19" max="19" width="12.109375" customWidth="1"/>
    <col min="20" max="20" width="11.88671875" customWidth="1"/>
    <col min="21" max="21" width="11.77734375" customWidth="1"/>
  </cols>
  <sheetData>
    <row r="1" spans="4:31" x14ac:dyDescent="0.3"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</row>
    <row r="2" spans="4:31" x14ac:dyDescent="0.3">
      <c r="D2" t="s">
        <v>0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178</v>
      </c>
    </row>
    <row r="3" spans="4:31" x14ac:dyDescent="0.3">
      <c r="D3">
        <v>400</v>
      </c>
      <c r="E3" t="s">
        <v>18</v>
      </c>
      <c r="F3" t="s">
        <v>19</v>
      </c>
      <c r="G3">
        <v>21464</v>
      </c>
      <c r="H3" t="s">
        <v>20</v>
      </c>
      <c r="I3" t="s">
        <v>21</v>
      </c>
      <c r="J3" t="s">
        <v>21</v>
      </c>
      <c r="K3" t="s">
        <v>21</v>
      </c>
      <c r="L3" t="s">
        <v>21</v>
      </c>
      <c r="M3">
        <v>14.5</v>
      </c>
      <c r="N3">
        <v>261</v>
      </c>
      <c r="O3">
        <v>2.6</v>
      </c>
      <c r="P3">
        <v>156</v>
      </c>
      <c r="Q3">
        <v>137.94999999999999</v>
      </c>
      <c r="R3">
        <v>172</v>
      </c>
      <c r="S3">
        <v>190</v>
      </c>
      <c r="T3">
        <v>12.2</v>
      </c>
      <c r="U3">
        <v>4</v>
      </c>
      <c r="W3" s="1" t="s">
        <v>22</v>
      </c>
    </row>
    <row r="4" spans="4:31" x14ac:dyDescent="0.3">
      <c r="D4">
        <v>4500</v>
      </c>
      <c r="E4" t="s">
        <v>23</v>
      </c>
      <c r="F4" t="s">
        <v>19</v>
      </c>
      <c r="G4">
        <v>20617</v>
      </c>
      <c r="H4" t="s">
        <v>20</v>
      </c>
      <c r="I4" t="s">
        <v>24</v>
      </c>
      <c r="J4" t="s">
        <v>21</v>
      </c>
      <c r="K4" t="s">
        <v>21</v>
      </c>
      <c r="L4" t="s">
        <v>24</v>
      </c>
      <c r="M4">
        <v>1.1000000000000001</v>
      </c>
      <c r="N4">
        <v>302</v>
      </c>
      <c r="O4">
        <v>4.1399999999999997</v>
      </c>
      <c r="P4">
        <v>54</v>
      </c>
      <c r="Q4">
        <v>113.52</v>
      </c>
      <c r="R4">
        <v>88</v>
      </c>
      <c r="S4">
        <v>221</v>
      </c>
      <c r="T4">
        <v>10.6</v>
      </c>
      <c r="U4">
        <v>3</v>
      </c>
      <c r="W4" s="1" t="s">
        <v>25</v>
      </c>
    </row>
    <row r="5" spans="4:31" x14ac:dyDescent="0.3">
      <c r="D5">
        <v>1012</v>
      </c>
      <c r="E5" t="s">
        <v>18</v>
      </c>
      <c r="F5" t="s">
        <v>19</v>
      </c>
      <c r="G5">
        <v>25594</v>
      </c>
      <c r="H5" t="s">
        <v>26</v>
      </c>
      <c r="I5" t="s">
        <v>24</v>
      </c>
      <c r="J5" t="s">
        <v>24</v>
      </c>
      <c r="K5" t="s">
        <v>24</v>
      </c>
      <c r="L5" t="s">
        <v>27</v>
      </c>
      <c r="M5">
        <v>1.4</v>
      </c>
      <c r="N5">
        <v>176</v>
      </c>
      <c r="O5">
        <v>3.48</v>
      </c>
      <c r="P5">
        <v>210</v>
      </c>
      <c r="Q5">
        <v>96.1</v>
      </c>
      <c r="R5">
        <v>55</v>
      </c>
      <c r="S5">
        <v>151</v>
      </c>
      <c r="T5">
        <v>12</v>
      </c>
      <c r="U5">
        <v>4</v>
      </c>
      <c r="W5" s="17" t="s">
        <v>28</v>
      </c>
      <c r="X5" s="10"/>
      <c r="Y5" s="10"/>
      <c r="Z5" s="10"/>
      <c r="AA5" s="10"/>
      <c r="AB5" s="10" t="s">
        <v>159</v>
      </c>
      <c r="AC5" s="10"/>
      <c r="AD5" s="10"/>
      <c r="AE5" s="10"/>
    </row>
    <row r="6" spans="4:31" x14ac:dyDescent="0.3">
      <c r="D6">
        <v>1925</v>
      </c>
      <c r="E6" t="s">
        <v>18</v>
      </c>
      <c r="F6" t="s">
        <v>19</v>
      </c>
      <c r="G6">
        <v>19994</v>
      </c>
      <c r="H6" t="s">
        <v>20</v>
      </c>
      <c r="I6" t="s">
        <v>24</v>
      </c>
      <c r="J6" t="s">
        <v>21</v>
      </c>
      <c r="K6" t="s">
        <v>21</v>
      </c>
      <c r="L6" t="s">
        <v>27</v>
      </c>
      <c r="M6">
        <v>1.8</v>
      </c>
      <c r="N6">
        <v>244</v>
      </c>
      <c r="O6">
        <v>2.54</v>
      </c>
      <c r="P6">
        <v>64</v>
      </c>
      <c r="Q6">
        <v>60.63</v>
      </c>
      <c r="R6">
        <v>92</v>
      </c>
      <c r="S6">
        <v>183</v>
      </c>
      <c r="T6">
        <v>10.3</v>
      </c>
      <c r="U6">
        <v>4</v>
      </c>
      <c r="W6" s="1" t="s">
        <v>29</v>
      </c>
    </row>
    <row r="7" spans="4:31" x14ac:dyDescent="0.3">
      <c r="D7">
        <v>1504</v>
      </c>
      <c r="E7" t="s">
        <v>30</v>
      </c>
      <c r="F7" t="s">
        <v>31</v>
      </c>
      <c r="G7">
        <v>13918</v>
      </c>
      <c r="H7" t="s">
        <v>20</v>
      </c>
      <c r="I7" t="s">
        <v>24</v>
      </c>
      <c r="J7" t="s">
        <v>21</v>
      </c>
      <c r="K7" t="s">
        <v>21</v>
      </c>
      <c r="L7" t="s">
        <v>24</v>
      </c>
      <c r="M7">
        <v>3.4</v>
      </c>
      <c r="N7">
        <v>279</v>
      </c>
      <c r="O7">
        <v>3.53</v>
      </c>
      <c r="P7">
        <v>143</v>
      </c>
      <c r="Q7">
        <v>113.15</v>
      </c>
      <c r="R7">
        <v>72</v>
      </c>
      <c r="S7">
        <v>136</v>
      </c>
      <c r="T7">
        <v>10.9</v>
      </c>
      <c r="U7">
        <v>3</v>
      </c>
      <c r="W7" s="17" t="s">
        <v>32</v>
      </c>
      <c r="X7" s="10"/>
      <c r="Y7" s="10"/>
      <c r="Z7" s="10" t="s">
        <v>160</v>
      </c>
      <c r="AA7" s="10"/>
      <c r="AB7" s="10"/>
      <c r="AC7" s="10"/>
    </row>
    <row r="8" spans="4:31" x14ac:dyDescent="0.3">
      <c r="D8">
        <v>2503</v>
      </c>
      <c r="E8" t="s">
        <v>18</v>
      </c>
      <c r="F8" t="s">
        <v>31</v>
      </c>
      <c r="G8">
        <v>24201</v>
      </c>
      <c r="H8" t="s">
        <v>20</v>
      </c>
      <c r="I8" t="s">
        <v>24</v>
      </c>
      <c r="J8" t="s">
        <v>21</v>
      </c>
      <c r="K8" t="s">
        <v>24</v>
      </c>
      <c r="L8" t="s">
        <v>24</v>
      </c>
      <c r="M8">
        <v>0.8</v>
      </c>
      <c r="N8">
        <v>248</v>
      </c>
      <c r="O8">
        <v>3.98</v>
      </c>
      <c r="P8">
        <v>50</v>
      </c>
      <c r="Q8">
        <v>93</v>
      </c>
      <c r="R8">
        <v>63</v>
      </c>
      <c r="S8" s="10">
        <v>262</v>
      </c>
      <c r="T8">
        <v>11</v>
      </c>
      <c r="U8">
        <v>3</v>
      </c>
      <c r="W8" s="1" t="s">
        <v>34</v>
      </c>
    </row>
    <row r="9" spans="4:31" x14ac:dyDescent="0.3">
      <c r="D9">
        <v>1832</v>
      </c>
      <c r="E9" t="s">
        <v>23</v>
      </c>
      <c r="F9" t="s">
        <v>31</v>
      </c>
      <c r="G9">
        <v>20284</v>
      </c>
      <c r="H9" t="s">
        <v>20</v>
      </c>
      <c r="I9" t="s">
        <v>24</v>
      </c>
      <c r="J9" t="s">
        <v>21</v>
      </c>
      <c r="K9" t="s">
        <v>24</v>
      </c>
      <c r="L9" t="s">
        <v>24</v>
      </c>
      <c r="M9">
        <v>1</v>
      </c>
      <c r="N9">
        <v>322</v>
      </c>
      <c r="O9">
        <v>4.09</v>
      </c>
      <c r="P9">
        <v>52</v>
      </c>
      <c r="Q9">
        <v>60.45</v>
      </c>
      <c r="R9">
        <v>213</v>
      </c>
      <c r="S9">
        <v>204</v>
      </c>
      <c r="T9">
        <v>9.6999999999999993</v>
      </c>
      <c r="U9">
        <v>3</v>
      </c>
      <c r="W9" s="1" t="s">
        <v>35</v>
      </c>
    </row>
    <row r="10" spans="4:31" x14ac:dyDescent="0.3">
      <c r="D10">
        <v>2466</v>
      </c>
      <c r="E10" t="s">
        <v>18</v>
      </c>
      <c r="F10" t="s">
        <v>31</v>
      </c>
      <c r="G10">
        <v>19379</v>
      </c>
      <c r="H10" t="s">
        <v>20</v>
      </c>
      <c r="I10" t="s">
        <v>24</v>
      </c>
      <c r="J10" t="s">
        <v>24</v>
      </c>
      <c r="K10" t="s">
        <v>24</v>
      </c>
      <c r="L10" t="s">
        <v>24</v>
      </c>
      <c r="M10">
        <v>0.3</v>
      </c>
      <c r="N10">
        <v>280</v>
      </c>
      <c r="O10">
        <v>4</v>
      </c>
      <c r="P10">
        <v>52</v>
      </c>
      <c r="Q10">
        <v>28.38</v>
      </c>
      <c r="R10">
        <v>189</v>
      </c>
      <c r="S10">
        <v>373</v>
      </c>
      <c r="T10">
        <v>11</v>
      </c>
      <c r="U10">
        <v>3</v>
      </c>
      <c r="W10" s="1" t="s">
        <v>36</v>
      </c>
    </row>
    <row r="11" spans="4:31" x14ac:dyDescent="0.3">
      <c r="D11">
        <v>2400</v>
      </c>
      <c r="E11" t="s">
        <v>18</v>
      </c>
      <c r="F11" t="s">
        <v>19</v>
      </c>
      <c r="G11">
        <v>15526</v>
      </c>
      <c r="H11" t="s">
        <v>20</v>
      </c>
      <c r="I11" t="s">
        <v>24</v>
      </c>
      <c r="J11" t="s">
        <v>24</v>
      </c>
      <c r="K11" t="s">
        <v>21</v>
      </c>
      <c r="L11" t="s">
        <v>24</v>
      </c>
      <c r="M11">
        <v>3.2</v>
      </c>
      <c r="N11">
        <v>562</v>
      </c>
      <c r="O11">
        <v>3.08</v>
      </c>
      <c r="P11">
        <v>79</v>
      </c>
      <c r="Q11">
        <v>144.15</v>
      </c>
      <c r="R11">
        <v>88</v>
      </c>
      <c r="S11">
        <v>251</v>
      </c>
      <c r="T11">
        <v>11</v>
      </c>
      <c r="U11">
        <v>2</v>
      </c>
      <c r="W11" s="1" t="s">
        <v>37</v>
      </c>
    </row>
    <row r="12" spans="4:31" x14ac:dyDescent="0.3">
      <c r="D12">
        <v>51</v>
      </c>
      <c r="E12" t="s">
        <v>18</v>
      </c>
      <c r="F12" t="s">
        <v>31</v>
      </c>
      <c r="G12">
        <v>25772</v>
      </c>
      <c r="H12" t="s">
        <v>20</v>
      </c>
      <c r="I12" t="s">
        <v>21</v>
      </c>
      <c r="J12" t="s">
        <v>24</v>
      </c>
      <c r="K12" t="s">
        <v>21</v>
      </c>
      <c r="L12" t="s">
        <v>21</v>
      </c>
      <c r="M12">
        <v>12.6</v>
      </c>
      <c r="N12">
        <v>200</v>
      </c>
      <c r="O12">
        <v>2.74</v>
      </c>
      <c r="P12">
        <v>140</v>
      </c>
      <c r="Q12">
        <v>147.25</v>
      </c>
      <c r="R12">
        <v>143</v>
      </c>
      <c r="S12">
        <v>302</v>
      </c>
      <c r="T12">
        <v>11.5</v>
      </c>
      <c r="U12">
        <v>4</v>
      </c>
      <c r="W12" s="1" t="s">
        <v>38</v>
      </c>
    </row>
    <row r="13" spans="4:31" x14ac:dyDescent="0.3">
      <c r="D13">
        <v>3762</v>
      </c>
      <c r="E13" t="s">
        <v>18</v>
      </c>
      <c r="F13" t="s">
        <v>31</v>
      </c>
      <c r="G13">
        <v>19619</v>
      </c>
      <c r="H13" t="s">
        <v>20</v>
      </c>
      <c r="I13" t="s">
        <v>24</v>
      </c>
      <c r="J13" t="s">
        <v>21</v>
      </c>
      <c r="K13" t="s">
        <v>21</v>
      </c>
      <c r="L13" t="s">
        <v>24</v>
      </c>
      <c r="M13">
        <v>1.4</v>
      </c>
      <c r="N13">
        <v>259</v>
      </c>
      <c r="O13">
        <v>4.16</v>
      </c>
      <c r="P13">
        <v>46</v>
      </c>
      <c r="Q13">
        <v>79.05</v>
      </c>
      <c r="R13">
        <v>79</v>
      </c>
      <c r="S13">
        <v>258</v>
      </c>
      <c r="T13">
        <v>12</v>
      </c>
      <c r="U13">
        <v>4</v>
      </c>
      <c r="W13" s="1" t="s">
        <v>39</v>
      </c>
    </row>
    <row r="14" spans="4:31" x14ac:dyDescent="0.3">
      <c r="D14">
        <v>304</v>
      </c>
      <c r="E14" t="s">
        <v>18</v>
      </c>
      <c r="F14" t="s">
        <v>31</v>
      </c>
      <c r="G14">
        <v>21600</v>
      </c>
      <c r="H14" t="s">
        <v>20</v>
      </c>
      <c r="I14" t="s">
        <v>24</v>
      </c>
      <c r="J14" t="s">
        <v>24</v>
      </c>
      <c r="K14" t="s">
        <v>21</v>
      </c>
      <c r="L14" t="s">
        <v>24</v>
      </c>
      <c r="M14">
        <v>3.6</v>
      </c>
      <c r="N14">
        <v>236</v>
      </c>
      <c r="O14">
        <v>3.52</v>
      </c>
      <c r="P14">
        <v>94</v>
      </c>
      <c r="Q14">
        <v>82.15</v>
      </c>
      <c r="R14">
        <v>95</v>
      </c>
      <c r="S14">
        <v>71</v>
      </c>
      <c r="T14">
        <v>13.6</v>
      </c>
      <c r="U14">
        <v>4</v>
      </c>
      <c r="W14" s="1" t="s">
        <v>40</v>
      </c>
    </row>
    <row r="15" spans="4:31" x14ac:dyDescent="0.3">
      <c r="D15">
        <v>3577</v>
      </c>
      <c r="E15" t="s">
        <v>23</v>
      </c>
      <c r="F15" t="s">
        <v>31</v>
      </c>
      <c r="G15">
        <v>16688</v>
      </c>
      <c r="H15" t="s">
        <v>20</v>
      </c>
      <c r="I15" t="s">
        <v>24</v>
      </c>
      <c r="J15" t="s">
        <v>24</v>
      </c>
      <c r="K15" t="s">
        <v>24</v>
      </c>
      <c r="L15" t="s">
        <v>24</v>
      </c>
      <c r="M15">
        <v>0.7</v>
      </c>
      <c r="N15">
        <v>281</v>
      </c>
      <c r="O15">
        <v>3.85</v>
      </c>
      <c r="P15">
        <v>40</v>
      </c>
      <c r="Q15">
        <v>88.35</v>
      </c>
      <c r="R15">
        <v>130</v>
      </c>
      <c r="S15">
        <v>244</v>
      </c>
      <c r="T15">
        <v>10.6</v>
      </c>
      <c r="U15">
        <v>3</v>
      </c>
      <c r="W15" s="1" t="s">
        <v>41</v>
      </c>
    </row>
    <row r="16" spans="4:31" x14ac:dyDescent="0.3">
      <c r="D16">
        <v>1217</v>
      </c>
      <c r="E16" t="s">
        <v>18</v>
      </c>
      <c r="F16" t="s">
        <v>31</v>
      </c>
      <c r="G16">
        <v>20535</v>
      </c>
      <c r="H16" t="s">
        <v>26</v>
      </c>
      <c r="I16" t="s">
        <v>21</v>
      </c>
      <c r="J16" t="s">
        <v>21</v>
      </c>
      <c r="K16" t="s">
        <v>24</v>
      </c>
      <c r="L16" t="s">
        <v>21</v>
      </c>
      <c r="M16">
        <v>0.8</v>
      </c>
      <c r="N16" s="10">
        <v>371</v>
      </c>
      <c r="O16">
        <v>2.27</v>
      </c>
      <c r="P16">
        <v>43</v>
      </c>
      <c r="Q16">
        <v>71</v>
      </c>
      <c r="R16" s="10">
        <v>123</v>
      </c>
      <c r="S16">
        <v>156</v>
      </c>
      <c r="T16">
        <v>11</v>
      </c>
      <c r="U16">
        <v>4</v>
      </c>
      <c r="W16" s="1" t="s">
        <v>42</v>
      </c>
    </row>
    <row r="17" spans="4:24" x14ac:dyDescent="0.3">
      <c r="D17">
        <v>3584</v>
      </c>
      <c r="E17" t="s">
        <v>18</v>
      </c>
      <c r="F17" t="s">
        <v>19</v>
      </c>
      <c r="G17">
        <v>23612</v>
      </c>
      <c r="H17" t="s">
        <v>20</v>
      </c>
      <c r="I17" t="s">
        <v>24</v>
      </c>
      <c r="J17" t="s">
        <v>24</v>
      </c>
      <c r="K17" t="s">
        <v>24</v>
      </c>
      <c r="L17" t="s">
        <v>24</v>
      </c>
      <c r="M17">
        <v>0.8</v>
      </c>
      <c r="N17">
        <v>231</v>
      </c>
      <c r="O17">
        <v>3.87</v>
      </c>
      <c r="P17">
        <v>173</v>
      </c>
      <c r="Q17">
        <v>127.71</v>
      </c>
      <c r="R17">
        <v>96</v>
      </c>
      <c r="S17">
        <v>295</v>
      </c>
      <c r="T17">
        <v>11</v>
      </c>
      <c r="U17">
        <v>3</v>
      </c>
      <c r="W17" s="1" t="s">
        <v>43</v>
      </c>
    </row>
    <row r="18" spans="4:24" x14ac:dyDescent="0.3">
      <c r="D18">
        <v>3672</v>
      </c>
      <c r="E18" t="s">
        <v>23</v>
      </c>
      <c r="F18" t="s">
        <v>31</v>
      </c>
      <c r="G18">
        <v>14772</v>
      </c>
      <c r="H18" t="s">
        <v>20</v>
      </c>
      <c r="I18" t="s">
        <v>24</v>
      </c>
      <c r="J18" t="s">
        <v>24</v>
      </c>
      <c r="K18" t="s">
        <v>24</v>
      </c>
      <c r="L18" t="s">
        <v>24</v>
      </c>
      <c r="M18">
        <v>0.7</v>
      </c>
      <c r="N18">
        <v>204</v>
      </c>
      <c r="O18">
        <v>3.66</v>
      </c>
      <c r="P18">
        <v>28</v>
      </c>
      <c r="Q18">
        <v>72.849999999999994</v>
      </c>
      <c r="R18">
        <v>58</v>
      </c>
      <c r="S18">
        <v>198</v>
      </c>
      <c r="T18">
        <v>10.8</v>
      </c>
      <c r="U18">
        <v>3</v>
      </c>
      <c r="W18" s="1" t="s">
        <v>44</v>
      </c>
    </row>
    <row r="19" spans="4:24" x14ac:dyDescent="0.3">
      <c r="D19">
        <v>769</v>
      </c>
      <c r="E19" t="s">
        <v>18</v>
      </c>
      <c r="F19" t="s">
        <v>31</v>
      </c>
      <c r="G19">
        <v>19060</v>
      </c>
      <c r="H19" t="s">
        <v>20</v>
      </c>
      <c r="I19" t="s">
        <v>24</v>
      </c>
      <c r="J19" t="s">
        <v>21</v>
      </c>
      <c r="K19" t="s">
        <v>24</v>
      </c>
      <c r="L19" t="s">
        <v>24</v>
      </c>
      <c r="M19">
        <v>2.7</v>
      </c>
      <c r="N19">
        <v>274</v>
      </c>
      <c r="O19">
        <v>3.15</v>
      </c>
      <c r="P19">
        <v>159</v>
      </c>
      <c r="Q19">
        <v>117.8</v>
      </c>
      <c r="R19">
        <v>128</v>
      </c>
      <c r="S19">
        <v>224</v>
      </c>
      <c r="T19">
        <v>10.5</v>
      </c>
      <c r="U19">
        <v>4</v>
      </c>
      <c r="W19" s="1" t="s">
        <v>45</v>
      </c>
    </row>
    <row r="20" spans="4:24" x14ac:dyDescent="0.3">
      <c r="D20">
        <v>131</v>
      </c>
      <c r="E20" t="s">
        <v>18</v>
      </c>
      <c r="F20" t="s">
        <v>19</v>
      </c>
      <c r="G20">
        <v>19698</v>
      </c>
      <c r="H20" t="s">
        <v>20</v>
      </c>
      <c r="I20" t="s">
        <v>24</v>
      </c>
      <c r="J20" t="s">
        <v>21</v>
      </c>
      <c r="K20" t="s">
        <v>21</v>
      </c>
      <c r="L20" t="s">
        <v>21</v>
      </c>
      <c r="M20">
        <v>11.4</v>
      </c>
      <c r="N20">
        <v>178</v>
      </c>
      <c r="O20">
        <v>2.8</v>
      </c>
      <c r="P20" s="19">
        <v>290</v>
      </c>
      <c r="Q20" s="19">
        <v>246.45</v>
      </c>
      <c r="R20">
        <v>200</v>
      </c>
      <c r="S20">
        <v>283</v>
      </c>
      <c r="T20">
        <v>12.4</v>
      </c>
      <c r="U20">
        <v>4</v>
      </c>
      <c r="W20" s="2" t="s">
        <v>46</v>
      </c>
    </row>
    <row r="21" spans="4:24" x14ac:dyDescent="0.3">
      <c r="D21">
        <v>4232</v>
      </c>
      <c r="E21" t="s">
        <v>23</v>
      </c>
      <c r="F21" t="s">
        <v>19</v>
      </c>
      <c r="G21">
        <v>18102</v>
      </c>
      <c r="H21" t="s">
        <v>20</v>
      </c>
      <c r="I21" t="s">
        <v>24</v>
      </c>
      <c r="J21" t="s">
        <v>21</v>
      </c>
      <c r="K21" t="s">
        <v>24</v>
      </c>
      <c r="L21" t="s">
        <v>27</v>
      </c>
      <c r="M21">
        <v>0.7</v>
      </c>
      <c r="N21">
        <v>235</v>
      </c>
      <c r="O21">
        <v>3.56</v>
      </c>
      <c r="P21">
        <v>39</v>
      </c>
      <c r="Q21">
        <v>93</v>
      </c>
      <c r="R21">
        <v>123</v>
      </c>
      <c r="S21">
        <v>209</v>
      </c>
      <c r="T21">
        <v>11</v>
      </c>
      <c r="U21">
        <v>3</v>
      </c>
    </row>
    <row r="22" spans="4:24" x14ac:dyDescent="0.3">
      <c r="D22">
        <v>1356</v>
      </c>
      <c r="E22" t="s">
        <v>18</v>
      </c>
      <c r="F22" t="s">
        <v>31</v>
      </c>
      <c r="G22">
        <v>21898</v>
      </c>
      <c r="H22" t="s">
        <v>20</v>
      </c>
      <c r="I22" t="s">
        <v>24</v>
      </c>
      <c r="J22" t="s">
        <v>21</v>
      </c>
      <c r="K22" t="s">
        <v>24</v>
      </c>
      <c r="L22" t="s">
        <v>24</v>
      </c>
      <c r="M22">
        <v>5.0999999999999996</v>
      </c>
      <c r="N22">
        <v>374</v>
      </c>
      <c r="O22">
        <v>3.51</v>
      </c>
      <c r="P22">
        <v>140</v>
      </c>
      <c r="Q22">
        <v>122.45</v>
      </c>
      <c r="R22">
        <v>135</v>
      </c>
      <c r="S22">
        <v>322</v>
      </c>
      <c r="T22">
        <v>13</v>
      </c>
      <c r="U22">
        <v>4</v>
      </c>
      <c r="W22" s="10"/>
      <c r="X22" t="s">
        <v>170</v>
      </c>
    </row>
    <row r="23" spans="4:24" x14ac:dyDescent="0.3">
      <c r="D23">
        <v>3445</v>
      </c>
      <c r="E23" t="s">
        <v>23</v>
      </c>
      <c r="F23" t="s">
        <v>31</v>
      </c>
      <c r="G23">
        <v>23445</v>
      </c>
      <c r="H23" t="s">
        <v>26</v>
      </c>
      <c r="I23" t="s">
        <v>24</v>
      </c>
      <c r="J23" t="s">
        <v>21</v>
      </c>
      <c r="K23" t="s">
        <v>21</v>
      </c>
      <c r="L23" t="s">
        <v>24</v>
      </c>
      <c r="M23">
        <v>0.6</v>
      </c>
      <c r="N23">
        <v>252</v>
      </c>
      <c r="O23">
        <v>3.83</v>
      </c>
      <c r="P23">
        <v>41</v>
      </c>
      <c r="Q23">
        <v>65.099999999999994</v>
      </c>
      <c r="R23">
        <v>83</v>
      </c>
      <c r="S23">
        <v>336</v>
      </c>
      <c r="T23">
        <v>11.4</v>
      </c>
      <c r="U23">
        <v>4</v>
      </c>
      <c r="W23" s="19"/>
      <c r="X23" t="s">
        <v>169</v>
      </c>
    </row>
    <row r="24" spans="4:24" x14ac:dyDescent="0.3">
      <c r="D24">
        <v>673</v>
      </c>
      <c r="E24" t="s">
        <v>18</v>
      </c>
      <c r="F24" t="s">
        <v>19</v>
      </c>
      <c r="G24">
        <v>20555</v>
      </c>
      <c r="H24" t="s">
        <v>20</v>
      </c>
      <c r="I24" t="s">
        <v>24</v>
      </c>
      <c r="J24" t="s">
        <v>24</v>
      </c>
      <c r="K24" t="s">
        <v>21</v>
      </c>
      <c r="L24" t="s">
        <v>24</v>
      </c>
      <c r="M24">
        <v>3.4</v>
      </c>
      <c r="N24">
        <v>271</v>
      </c>
      <c r="O24">
        <v>3.63</v>
      </c>
      <c r="P24" s="19">
        <v>290</v>
      </c>
      <c r="Q24">
        <v>120.9</v>
      </c>
      <c r="R24">
        <v>55</v>
      </c>
      <c r="S24">
        <v>173</v>
      </c>
      <c r="T24">
        <v>11.6</v>
      </c>
      <c r="U24">
        <v>4</v>
      </c>
    </row>
    <row r="25" spans="4:24" x14ac:dyDescent="0.3">
      <c r="D25">
        <v>264</v>
      </c>
      <c r="E25" t="s">
        <v>18</v>
      </c>
      <c r="F25" t="s">
        <v>31</v>
      </c>
      <c r="G25">
        <v>20442</v>
      </c>
      <c r="H25" t="s">
        <v>20</v>
      </c>
      <c r="I25" t="s">
        <v>21</v>
      </c>
      <c r="J25" t="s">
        <v>21</v>
      </c>
      <c r="K25" t="s">
        <v>21</v>
      </c>
      <c r="L25" t="s">
        <v>21</v>
      </c>
      <c r="M25">
        <v>17.399999999999999</v>
      </c>
      <c r="N25">
        <v>395</v>
      </c>
      <c r="O25">
        <v>2.94</v>
      </c>
      <c r="P25" s="19">
        <v>290</v>
      </c>
      <c r="Q25">
        <v>227.04</v>
      </c>
      <c r="R25">
        <v>191</v>
      </c>
      <c r="S25">
        <v>214</v>
      </c>
      <c r="T25">
        <v>11.7</v>
      </c>
      <c r="U25">
        <v>4</v>
      </c>
    </row>
    <row r="26" spans="4:24" x14ac:dyDescent="0.3">
      <c r="D26">
        <v>4079</v>
      </c>
      <c r="E26" t="s">
        <v>18</v>
      </c>
      <c r="F26" t="s">
        <v>19</v>
      </c>
      <c r="G26">
        <v>16261</v>
      </c>
      <c r="H26" t="s">
        <v>26</v>
      </c>
      <c r="I26" t="s">
        <v>24</v>
      </c>
      <c r="J26" t="s">
        <v>21</v>
      </c>
      <c r="K26" t="s">
        <v>24</v>
      </c>
      <c r="L26" t="s">
        <v>24</v>
      </c>
      <c r="M26">
        <v>2.1</v>
      </c>
      <c r="N26">
        <v>456</v>
      </c>
      <c r="O26">
        <v>4</v>
      </c>
      <c r="P26">
        <v>124</v>
      </c>
      <c r="Q26">
        <v>221.88</v>
      </c>
      <c r="R26">
        <v>230</v>
      </c>
      <c r="S26">
        <v>70</v>
      </c>
      <c r="T26">
        <v>9.9</v>
      </c>
      <c r="U26">
        <v>2</v>
      </c>
    </row>
    <row r="27" spans="4:24" x14ac:dyDescent="0.3">
      <c r="D27">
        <v>4127</v>
      </c>
      <c r="E27" t="s">
        <v>23</v>
      </c>
      <c r="F27" t="s">
        <v>31</v>
      </c>
      <c r="G27">
        <v>16463</v>
      </c>
      <c r="H27" t="s">
        <v>20</v>
      </c>
      <c r="I27" t="s">
        <v>24</v>
      </c>
      <c r="J27" t="s">
        <v>24</v>
      </c>
      <c r="K27" t="s">
        <v>24</v>
      </c>
      <c r="L27" t="s">
        <v>24</v>
      </c>
      <c r="M27">
        <v>0.7</v>
      </c>
      <c r="N27">
        <v>298</v>
      </c>
      <c r="O27">
        <v>4.0999999999999996</v>
      </c>
      <c r="P27">
        <v>40</v>
      </c>
      <c r="Q27">
        <v>106.95</v>
      </c>
      <c r="R27">
        <v>66</v>
      </c>
      <c r="S27">
        <v>324</v>
      </c>
      <c r="T27">
        <v>11.3</v>
      </c>
      <c r="U27">
        <v>2</v>
      </c>
    </row>
    <row r="28" spans="4:24" x14ac:dyDescent="0.3">
      <c r="D28">
        <v>1444</v>
      </c>
      <c r="E28" t="s">
        <v>18</v>
      </c>
      <c r="F28" t="s">
        <v>31</v>
      </c>
      <c r="G28">
        <v>19002</v>
      </c>
      <c r="H28" t="s">
        <v>20</v>
      </c>
      <c r="I28" t="s">
        <v>24</v>
      </c>
      <c r="J28" t="s">
        <v>21</v>
      </c>
      <c r="K28" t="s">
        <v>21</v>
      </c>
      <c r="L28" t="s">
        <v>24</v>
      </c>
      <c r="M28">
        <v>5.2</v>
      </c>
      <c r="N28">
        <v>1128</v>
      </c>
      <c r="O28">
        <v>3.68</v>
      </c>
      <c r="P28">
        <v>53</v>
      </c>
      <c r="Q28">
        <v>165.85</v>
      </c>
      <c r="R28">
        <v>166</v>
      </c>
      <c r="S28">
        <v>421</v>
      </c>
      <c r="T28">
        <v>9.9</v>
      </c>
      <c r="U28">
        <v>3</v>
      </c>
    </row>
    <row r="29" spans="4:24" x14ac:dyDescent="0.3">
      <c r="D29">
        <v>77</v>
      </c>
      <c r="E29" t="s">
        <v>18</v>
      </c>
      <c r="F29" t="s">
        <v>31</v>
      </c>
      <c r="G29">
        <v>19884</v>
      </c>
      <c r="H29" t="s">
        <v>20</v>
      </c>
      <c r="I29" t="s">
        <v>21</v>
      </c>
      <c r="J29" t="s">
        <v>21</v>
      </c>
      <c r="K29" t="s">
        <v>21</v>
      </c>
      <c r="L29" t="s">
        <v>27</v>
      </c>
      <c r="M29" s="23">
        <v>17.399999999999999</v>
      </c>
      <c r="N29">
        <v>175</v>
      </c>
      <c r="O29">
        <v>3.31</v>
      </c>
      <c r="P29">
        <v>221</v>
      </c>
      <c r="Q29">
        <v>101.91</v>
      </c>
      <c r="R29">
        <v>168</v>
      </c>
      <c r="S29">
        <v>80</v>
      </c>
      <c r="T29">
        <v>12</v>
      </c>
      <c r="U29">
        <v>4</v>
      </c>
    </row>
    <row r="30" spans="4:24" x14ac:dyDescent="0.3">
      <c r="D30">
        <v>549</v>
      </c>
      <c r="E30" t="s">
        <v>18</v>
      </c>
      <c r="F30" t="s">
        <v>31</v>
      </c>
      <c r="G30">
        <v>16417</v>
      </c>
      <c r="H30" t="s">
        <v>20</v>
      </c>
      <c r="I30" t="s">
        <v>21</v>
      </c>
      <c r="J30" t="s">
        <v>21</v>
      </c>
      <c r="K30" t="s">
        <v>21</v>
      </c>
      <c r="L30" t="s">
        <v>21</v>
      </c>
      <c r="M30">
        <v>17.2</v>
      </c>
      <c r="N30">
        <v>222</v>
      </c>
      <c r="O30">
        <v>3.23</v>
      </c>
      <c r="P30">
        <v>209</v>
      </c>
      <c r="Q30">
        <v>189.1</v>
      </c>
      <c r="R30">
        <v>195</v>
      </c>
      <c r="S30">
        <v>144</v>
      </c>
      <c r="T30">
        <v>13</v>
      </c>
      <c r="U30">
        <v>4</v>
      </c>
    </row>
    <row r="31" spans="4:24" x14ac:dyDescent="0.3">
      <c r="D31">
        <v>4509</v>
      </c>
      <c r="E31" t="s">
        <v>23</v>
      </c>
      <c r="F31" t="s">
        <v>31</v>
      </c>
      <c r="G31">
        <v>23331</v>
      </c>
      <c r="H31" t="s">
        <v>20</v>
      </c>
      <c r="I31" t="s">
        <v>24</v>
      </c>
      <c r="J31" t="s">
        <v>24</v>
      </c>
      <c r="K31" t="s">
        <v>24</v>
      </c>
      <c r="L31" t="s">
        <v>24</v>
      </c>
      <c r="M31">
        <v>0.7</v>
      </c>
      <c r="N31">
        <v>370</v>
      </c>
      <c r="O31">
        <v>3.78</v>
      </c>
      <c r="P31">
        <v>24</v>
      </c>
      <c r="Q31">
        <v>73.53</v>
      </c>
      <c r="R31">
        <v>86</v>
      </c>
      <c r="S31">
        <v>390</v>
      </c>
      <c r="T31">
        <v>10.6</v>
      </c>
      <c r="U31">
        <v>2</v>
      </c>
    </row>
    <row r="32" spans="4:24" x14ac:dyDescent="0.3">
      <c r="D32">
        <v>321</v>
      </c>
      <c r="E32" t="s">
        <v>18</v>
      </c>
      <c r="F32" t="s">
        <v>31</v>
      </c>
      <c r="G32">
        <v>15116</v>
      </c>
      <c r="H32" t="s">
        <v>20</v>
      </c>
      <c r="I32" t="s">
        <v>24</v>
      </c>
      <c r="J32" t="s">
        <v>21</v>
      </c>
      <c r="K32" t="s">
        <v>21</v>
      </c>
      <c r="L32" t="s">
        <v>24</v>
      </c>
      <c r="M32">
        <v>3.6</v>
      </c>
      <c r="N32">
        <v>260</v>
      </c>
      <c r="O32">
        <v>2.54</v>
      </c>
      <c r="P32">
        <v>172</v>
      </c>
      <c r="Q32">
        <v>121.26</v>
      </c>
      <c r="R32">
        <v>158</v>
      </c>
      <c r="S32">
        <v>124</v>
      </c>
      <c r="T32">
        <v>11</v>
      </c>
      <c r="U32">
        <v>4</v>
      </c>
    </row>
    <row r="33" spans="4:21" x14ac:dyDescent="0.3">
      <c r="D33">
        <v>3839</v>
      </c>
      <c r="E33" t="s">
        <v>18</v>
      </c>
      <c r="F33" t="s">
        <v>31</v>
      </c>
      <c r="G33">
        <v>15177</v>
      </c>
      <c r="H33" t="s">
        <v>20</v>
      </c>
      <c r="I33" t="s">
        <v>24</v>
      </c>
      <c r="J33" t="s">
        <v>21</v>
      </c>
      <c r="K33" t="s">
        <v>24</v>
      </c>
      <c r="L33" t="s">
        <v>24</v>
      </c>
      <c r="M33">
        <v>4.7</v>
      </c>
      <c r="N33">
        <v>296</v>
      </c>
      <c r="O33">
        <v>3.44</v>
      </c>
      <c r="P33">
        <v>114</v>
      </c>
      <c r="Q33">
        <v>206.4</v>
      </c>
      <c r="R33">
        <v>101</v>
      </c>
      <c r="S33">
        <v>195</v>
      </c>
      <c r="T33">
        <v>10.3</v>
      </c>
      <c r="U33">
        <v>2</v>
      </c>
    </row>
    <row r="34" spans="4:21" x14ac:dyDescent="0.3">
      <c r="D34">
        <v>4523</v>
      </c>
      <c r="E34" t="s">
        <v>23</v>
      </c>
      <c r="F34" t="s">
        <v>31</v>
      </c>
      <c r="G34">
        <v>19722</v>
      </c>
      <c r="H34" t="s">
        <v>20</v>
      </c>
      <c r="I34" t="s">
        <v>24</v>
      </c>
      <c r="J34" t="s">
        <v>21</v>
      </c>
      <c r="K34" t="s">
        <v>24</v>
      </c>
      <c r="L34" t="s">
        <v>24</v>
      </c>
      <c r="M34">
        <v>1.8</v>
      </c>
      <c r="N34">
        <v>262</v>
      </c>
      <c r="O34">
        <v>3.34</v>
      </c>
      <c r="P34">
        <v>101</v>
      </c>
      <c r="Q34">
        <v>82.56</v>
      </c>
      <c r="R34">
        <v>158</v>
      </c>
      <c r="S34">
        <v>286</v>
      </c>
      <c r="T34">
        <v>10.6</v>
      </c>
      <c r="U34">
        <v>4</v>
      </c>
    </row>
    <row r="35" spans="4:21" x14ac:dyDescent="0.3">
      <c r="D35">
        <v>3170</v>
      </c>
      <c r="E35" t="s">
        <v>18</v>
      </c>
      <c r="F35" t="s">
        <v>31</v>
      </c>
      <c r="G35">
        <v>18731</v>
      </c>
      <c r="H35" t="s">
        <v>20</v>
      </c>
      <c r="I35" t="s">
        <v>24</v>
      </c>
      <c r="J35" t="s">
        <v>24</v>
      </c>
      <c r="K35" t="s">
        <v>24</v>
      </c>
      <c r="L35" t="s">
        <v>24</v>
      </c>
      <c r="M35">
        <v>0.8</v>
      </c>
      <c r="N35">
        <v>210</v>
      </c>
      <c r="O35">
        <v>3.19</v>
      </c>
      <c r="P35">
        <v>82</v>
      </c>
      <c r="Q35">
        <v>218.55</v>
      </c>
      <c r="R35">
        <v>113</v>
      </c>
      <c r="S35">
        <v>180</v>
      </c>
      <c r="T35">
        <v>12</v>
      </c>
      <c r="U35">
        <v>3</v>
      </c>
    </row>
    <row r="36" spans="4:21" x14ac:dyDescent="0.3">
      <c r="D36">
        <v>3933</v>
      </c>
      <c r="E36" t="s">
        <v>23</v>
      </c>
      <c r="F36" t="s">
        <v>19</v>
      </c>
      <c r="G36">
        <v>19015</v>
      </c>
      <c r="H36" t="s">
        <v>20</v>
      </c>
      <c r="I36" t="s">
        <v>24</v>
      </c>
      <c r="J36" t="s">
        <v>24</v>
      </c>
      <c r="K36" t="s">
        <v>24</v>
      </c>
      <c r="L36" t="s">
        <v>24</v>
      </c>
      <c r="M36">
        <v>0.8</v>
      </c>
      <c r="N36">
        <v>364</v>
      </c>
      <c r="O36">
        <v>3.7</v>
      </c>
      <c r="P36">
        <v>37</v>
      </c>
      <c r="Q36">
        <v>170.5</v>
      </c>
      <c r="R36">
        <v>64</v>
      </c>
      <c r="S36">
        <v>273</v>
      </c>
      <c r="T36">
        <v>10.5</v>
      </c>
      <c r="U36">
        <v>2</v>
      </c>
    </row>
    <row r="37" spans="4:21" x14ac:dyDescent="0.3">
      <c r="D37">
        <v>2847</v>
      </c>
      <c r="E37" t="s">
        <v>18</v>
      </c>
      <c r="F37" t="s">
        <v>31</v>
      </c>
      <c r="G37">
        <v>17758</v>
      </c>
      <c r="H37" t="s">
        <v>20</v>
      </c>
      <c r="I37" t="s">
        <v>24</v>
      </c>
      <c r="J37" t="s">
        <v>24</v>
      </c>
      <c r="K37" t="s">
        <v>24</v>
      </c>
      <c r="L37" t="s">
        <v>24</v>
      </c>
      <c r="M37">
        <v>1.2</v>
      </c>
      <c r="N37">
        <v>314</v>
      </c>
      <c r="O37">
        <v>3.2</v>
      </c>
      <c r="P37">
        <v>201</v>
      </c>
      <c r="Q37">
        <v>72.239999999999995</v>
      </c>
      <c r="R37">
        <v>151</v>
      </c>
      <c r="S37">
        <v>431</v>
      </c>
      <c r="T37">
        <v>10.6</v>
      </c>
      <c r="U37">
        <v>3</v>
      </c>
    </row>
    <row r="38" spans="4:21" x14ac:dyDescent="0.3">
      <c r="D38">
        <v>3611</v>
      </c>
      <c r="E38" t="s">
        <v>23</v>
      </c>
      <c r="F38" t="s">
        <v>31</v>
      </c>
      <c r="G38">
        <v>20604</v>
      </c>
      <c r="H38" t="s">
        <v>20</v>
      </c>
      <c r="I38" t="s">
        <v>24</v>
      </c>
      <c r="J38" t="s">
        <v>24</v>
      </c>
      <c r="K38" t="s">
        <v>24</v>
      </c>
      <c r="L38" t="s">
        <v>24</v>
      </c>
      <c r="M38">
        <v>0.3</v>
      </c>
      <c r="N38">
        <v>172</v>
      </c>
      <c r="O38">
        <v>3.39</v>
      </c>
      <c r="P38">
        <v>18</v>
      </c>
      <c r="Q38">
        <v>71.3</v>
      </c>
      <c r="R38">
        <v>96</v>
      </c>
      <c r="S38">
        <v>311</v>
      </c>
      <c r="T38">
        <v>10.6</v>
      </c>
      <c r="U38">
        <v>2</v>
      </c>
    </row>
    <row r="39" spans="4:21" x14ac:dyDescent="0.3">
      <c r="D39">
        <v>223</v>
      </c>
      <c r="E39" t="s">
        <v>18</v>
      </c>
      <c r="F39" t="s">
        <v>19</v>
      </c>
      <c r="G39">
        <v>22546</v>
      </c>
      <c r="H39" t="s">
        <v>20</v>
      </c>
      <c r="I39" t="s">
        <v>21</v>
      </c>
      <c r="J39" t="s">
        <v>21</v>
      </c>
      <c r="K39" t="s">
        <v>24</v>
      </c>
      <c r="L39" t="s">
        <v>21</v>
      </c>
      <c r="M39">
        <v>7.1</v>
      </c>
      <c r="N39">
        <v>334</v>
      </c>
      <c r="O39">
        <v>3.01</v>
      </c>
      <c r="P39">
        <v>150</v>
      </c>
      <c r="Q39">
        <v>180.6</v>
      </c>
      <c r="R39">
        <v>118</v>
      </c>
      <c r="S39">
        <v>102</v>
      </c>
      <c r="T39">
        <v>12</v>
      </c>
      <c r="U39">
        <v>4</v>
      </c>
    </row>
    <row r="40" spans="4:21" x14ac:dyDescent="0.3">
      <c r="D40">
        <v>3244</v>
      </c>
      <c r="E40" t="s">
        <v>18</v>
      </c>
      <c r="F40" t="s">
        <v>31</v>
      </c>
      <c r="G40">
        <v>13378</v>
      </c>
      <c r="H40" t="s">
        <v>20</v>
      </c>
      <c r="I40" t="s">
        <v>24</v>
      </c>
      <c r="J40" t="s">
        <v>21</v>
      </c>
      <c r="K40" t="s">
        <v>21</v>
      </c>
      <c r="L40" t="s">
        <v>24</v>
      </c>
      <c r="M40">
        <v>3.3</v>
      </c>
      <c r="N40">
        <v>383</v>
      </c>
      <c r="O40">
        <v>3.53</v>
      </c>
      <c r="P40">
        <v>102</v>
      </c>
      <c r="Q40">
        <v>137.94999999999999</v>
      </c>
      <c r="R40">
        <v>87</v>
      </c>
      <c r="S40">
        <v>234</v>
      </c>
      <c r="T40">
        <v>11</v>
      </c>
      <c r="U40">
        <v>4</v>
      </c>
    </row>
    <row r="41" spans="4:21" x14ac:dyDescent="0.3">
      <c r="D41">
        <v>2297</v>
      </c>
      <c r="E41" t="s">
        <v>18</v>
      </c>
      <c r="F41" t="s">
        <v>19</v>
      </c>
      <c r="G41">
        <v>20232</v>
      </c>
      <c r="H41" t="s">
        <v>20</v>
      </c>
      <c r="I41" t="s">
        <v>24</v>
      </c>
      <c r="J41" t="s">
        <v>21</v>
      </c>
      <c r="K41" t="s">
        <v>24</v>
      </c>
      <c r="L41" t="s">
        <v>24</v>
      </c>
      <c r="M41">
        <v>0.7</v>
      </c>
      <c r="N41">
        <v>282</v>
      </c>
      <c r="O41">
        <v>3</v>
      </c>
      <c r="P41">
        <v>52</v>
      </c>
      <c r="Q41">
        <v>72.239999999999995</v>
      </c>
      <c r="R41">
        <v>111</v>
      </c>
      <c r="S41">
        <v>563</v>
      </c>
      <c r="T41">
        <v>10.6</v>
      </c>
      <c r="U41">
        <v>4</v>
      </c>
    </row>
    <row r="42" spans="4:21" x14ac:dyDescent="0.3">
      <c r="D42">
        <v>4467</v>
      </c>
      <c r="E42" t="s">
        <v>23</v>
      </c>
      <c r="F42" t="s">
        <v>19</v>
      </c>
      <c r="G42">
        <v>17046</v>
      </c>
      <c r="H42" t="s">
        <v>20</v>
      </c>
      <c r="I42" t="s">
        <v>24</v>
      </c>
      <c r="J42" t="s">
        <v>24</v>
      </c>
      <c r="K42" t="s">
        <v>24</v>
      </c>
      <c r="L42" t="s">
        <v>24</v>
      </c>
      <c r="M42">
        <v>1.3</v>
      </c>
      <c r="N42" s="10">
        <v>371</v>
      </c>
      <c r="O42">
        <v>3.34</v>
      </c>
      <c r="P42">
        <v>105</v>
      </c>
      <c r="Q42">
        <v>104.49</v>
      </c>
      <c r="R42" s="10">
        <v>123</v>
      </c>
      <c r="S42">
        <v>358</v>
      </c>
      <c r="T42">
        <v>11</v>
      </c>
      <c r="U42">
        <v>4</v>
      </c>
    </row>
    <row r="43" spans="4:21" x14ac:dyDescent="0.3">
      <c r="D43">
        <v>1350</v>
      </c>
      <c r="E43" t="s">
        <v>18</v>
      </c>
      <c r="F43" t="s">
        <v>19</v>
      </c>
      <c r="G43">
        <v>12285</v>
      </c>
      <c r="H43" t="s">
        <v>20</v>
      </c>
      <c r="I43" t="s">
        <v>24</v>
      </c>
      <c r="J43" t="s">
        <v>21</v>
      </c>
      <c r="K43" t="s">
        <v>24</v>
      </c>
      <c r="L43" t="s">
        <v>24</v>
      </c>
      <c r="M43">
        <v>6.8</v>
      </c>
      <c r="N43" s="10">
        <v>371</v>
      </c>
      <c r="O43">
        <v>3.26</v>
      </c>
      <c r="P43">
        <v>96</v>
      </c>
      <c r="Q43">
        <v>151.9</v>
      </c>
      <c r="R43" s="10">
        <v>123</v>
      </c>
      <c r="S43">
        <v>226</v>
      </c>
      <c r="T43">
        <v>11.7</v>
      </c>
      <c r="U43">
        <v>4</v>
      </c>
    </row>
    <row r="44" spans="4:21" x14ac:dyDescent="0.3">
      <c r="D44">
        <v>4453</v>
      </c>
      <c r="E44" t="s">
        <v>23</v>
      </c>
      <c r="F44" t="s">
        <v>31</v>
      </c>
      <c r="G44">
        <v>12307</v>
      </c>
      <c r="H44" t="s">
        <v>20</v>
      </c>
      <c r="I44" t="s">
        <v>24</v>
      </c>
      <c r="J44" t="s">
        <v>21</v>
      </c>
      <c r="K44" t="s">
        <v>21</v>
      </c>
      <c r="L44" t="s">
        <v>24</v>
      </c>
      <c r="M44">
        <v>2.1</v>
      </c>
      <c r="N44" s="10">
        <v>371</v>
      </c>
      <c r="O44">
        <v>3.54</v>
      </c>
      <c r="P44">
        <v>122</v>
      </c>
      <c r="Q44">
        <v>56.76</v>
      </c>
      <c r="R44" s="10">
        <v>123</v>
      </c>
      <c r="S44">
        <v>344</v>
      </c>
      <c r="T44">
        <v>11</v>
      </c>
      <c r="U44">
        <v>4</v>
      </c>
    </row>
    <row r="45" spans="4:21" x14ac:dyDescent="0.3">
      <c r="D45">
        <v>4556</v>
      </c>
      <c r="E45" t="s">
        <v>23</v>
      </c>
      <c r="F45" t="s">
        <v>19</v>
      </c>
      <c r="G45">
        <v>17850</v>
      </c>
      <c r="H45" t="s">
        <v>20</v>
      </c>
      <c r="I45" t="s">
        <v>24</v>
      </c>
      <c r="J45" t="s">
        <v>24</v>
      </c>
      <c r="K45" t="s">
        <v>24</v>
      </c>
      <c r="L45" t="s">
        <v>24</v>
      </c>
      <c r="M45">
        <v>1.1000000000000001</v>
      </c>
      <c r="N45">
        <v>361</v>
      </c>
      <c r="O45">
        <v>3.64</v>
      </c>
      <c r="P45">
        <v>36</v>
      </c>
      <c r="Q45">
        <v>67.08</v>
      </c>
      <c r="R45">
        <v>89</v>
      </c>
      <c r="S45">
        <v>203</v>
      </c>
      <c r="T45">
        <v>10.6</v>
      </c>
      <c r="U45">
        <v>2</v>
      </c>
    </row>
    <row r="46" spans="4:21" x14ac:dyDescent="0.3">
      <c r="D46">
        <v>3428</v>
      </c>
      <c r="E46" t="s">
        <v>18</v>
      </c>
      <c r="F46" t="s">
        <v>31</v>
      </c>
      <c r="G46">
        <v>13727</v>
      </c>
      <c r="H46" t="s">
        <v>20</v>
      </c>
      <c r="I46" t="s">
        <v>24</v>
      </c>
      <c r="J46" t="s">
        <v>21</v>
      </c>
      <c r="K46" t="s">
        <v>21</v>
      </c>
      <c r="L46" t="s">
        <v>21</v>
      </c>
      <c r="M46">
        <v>3.3</v>
      </c>
      <c r="N46">
        <v>299</v>
      </c>
      <c r="O46">
        <v>3.55</v>
      </c>
      <c r="P46">
        <v>131</v>
      </c>
      <c r="Q46">
        <v>119.35</v>
      </c>
      <c r="R46">
        <v>50</v>
      </c>
      <c r="S46">
        <v>199</v>
      </c>
      <c r="T46">
        <v>11.7</v>
      </c>
      <c r="U46">
        <v>3</v>
      </c>
    </row>
    <row r="47" spans="4:21" x14ac:dyDescent="0.3">
      <c r="D47">
        <v>4025</v>
      </c>
      <c r="E47" t="s">
        <v>23</v>
      </c>
      <c r="F47" t="s">
        <v>31</v>
      </c>
      <c r="G47">
        <v>15265</v>
      </c>
      <c r="H47" t="s">
        <v>20</v>
      </c>
      <c r="I47" t="s">
        <v>24</v>
      </c>
      <c r="J47" t="s">
        <v>24</v>
      </c>
      <c r="K47" t="s">
        <v>24</v>
      </c>
      <c r="L47" t="s">
        <v>24</v>
      </c>
      <c r="M47">
        <v>0.6</v>
      </c>
      <c r="N47" s="10">
        <v>371</v>
      </c>
      <c r="O47">
        <v>3.93</v>
      </c>
      <c r="P47">
        <v>19</v>
      </c>
      <c r="Q47">
        <v>71.3</v>
      </c>
      <c r="R47" s="10">
        <v>123</v>
      </c>
      <c r="S47">
        <v>474</v>
      </c>
      <c r="T47">
        <v>10.9</v>
      </c>
      <c r="U47">
        <v>2</v>
      </c>
    </row>
    <row r="48" spans="4:21" x14ac:dyDescent="0.3">
      <c r="D48">
        <v>2256</v>
      </c>
      <c r="E48" t="s">
        <v>18</v>
      </c>
      <c r="F48" t="s">
        <v>19</v>
      </c>
      <c r="G48">
        <v>16728</v>
      </c>
      <c r="H48" t="s">
        <v>20</v>
      </c>
      <c r="I48" t="s">
        <v>24</v>
      </c>
      <c r="J48" t="s">
        <v>21</v>
      </c>
      <c r="K48" t="s">
        <v>24</v>
      </c>
      <c r="L48" t="s">
        <v>24</v>
      </c>
      <c r="M48">
        <v>5.7</v>
      </c>
      <c r="N48">
        <v>482</v>
      </c>
      <c r="O48">
        <v>2.84</v>
      </c>
      <c r="P48">
        <v>161</v>
      </c>
      <c r="Q48">
        <v>136.74</v>
      </c>
      <c r="R48">
        <v>165</v>
      </c>
      <c r="S48">
        <v>518</v>
      </c>
      <c r="T48">
        <v>12.7</v>
      </c>
      <c r="U48">
        <v>3</v>
      </c>
    </row>
    <row r="49" spans="4:21" x14ac:dyDescent="0.3">
      <c r="D49">
        <v>2576</v>
      </c>
      <c r="E49" t="s">
        <v>23</v>
      </c>
      <c r="F49" t="s">
        <v>31</v>
      </c>
      <c r="G49">
        <v>17323</v>
      </c>
      <c r="H49" t="s">
        <v>20</v>
      </c>
      <c r="I49" t="s">
        <v>24</v>
      </c>
      <c r="J49" t="s">
        <v>24</v>
      </c>
      <c r="K49" t="s">
        <v>24</v>
      </c>
      <c r="L49" t="s">
        <v>24</v>
      </c>
      <c r="M49">
        <v>0.5</v>
      </c>
      <c r="N49">
        <v>316</v>
      </c>
      <c r="O49">
        <v>3.65</v>
      </c>
      <c r="P49">
        <v>68</v>
      </c>
      <c r="Q49">
        <v>187.55</v>
      </c>
      <c r="R49">
        <v>71</v>
      </c>
      <c r="S49">
        <v>356</v>
      </c>
      <c r="T49">
        <v>9.8000000000000007</v>
      </c>
      <c r="U49">
        <v>3</v>
      </c>
    </row>
    <row r="50" spans="4:21" x14ac:dyDescent="0.3">
      <c r="D50">
        <v>4427</v>
      </c>
      <c r="E50" t="s">
        <v>23</v>
      </c>
      <c r="F50" t="s">
        <v>31</v>
      </c>
      <c r="G50">
        <v>17947</v>
      </c>
      <c r="H50" t="s">
        <v>26</v>
      </c>
      <c r="I50" t="s">
        <v>24</v>
      </c>
      <c r="J50" t="s">
        <v>24</v>
      </c>
      <c r="K50" t="s">
        <v>24</v>
      </c>
      <c r="L50" t="s">
        <v>24</v>
      </c>
      <c r="M50">
        <v>1.9</v>
      </c>
      <c r="N50">
        <v>259</v>
      </c>
      <c r="O50">
        <v>3.7</v>
      </c>
      <c r="P50">
        <v>281</v>
      </c>
      <c r="Q50">
        <v>188.34</v>
      </c>
      <c r="R50">
        <v>178</v>
      </c>
      <c r="S50">
        <v>214</v>
      </c>
      <c r="T50">
        <v>11</v>
      </c>
      <c r="U50">
        <v>3</v>
      </c>
    </row>
    <row r="51" spans="4:21" x14ac:dyDescent="0.3">
      <c r="D51">
        <v>708</v>
      </c>
      <c r="E51" t="s">
        <v>18</v>
      </c>
      <c r="F51" t="s">
        <v>31</v>
      </c>
      <c r="G51">
        <v>22336</v>
      </c>
      <c r="H51" t="s">
        <v>20</v>
      </c>
      <c r="I51" t="s">
        <v>24</v>
      </c>
      <c r="J51" t="s">
        <v>21</v>
      </c>
      <c r="K51" t="s">
        <v>24</v>
      </c>
      <c r="L51" t="s">
        <v>24</v>
      </c>
      <c r="M51">
        <v>0.8</v>
      </c>
      <c r="N51" s="10">
        <v>371</v>
      </c>
      <c r="O51">
        <v>3.82</v>
      </c>
      <c r="P51">
        <v>58</v>
      </c>
      <c r="Q51">
        <v>97.65</v>
      </c>
      <c r="R51" s="10">
        <v>123</v>
      </c>
      <c r="S51">
        <v>233</v>
      </c>
      <c r="T51">
        <v>11</v>
      </c>
      <c r="U51">
        <v>4</v>
      </c>
    </row>
    <row r="52" spans="4:21" x14ac:dyDescent="0.3">
      <c r="D52">
        <v>2598</v>
      </c>
      <c r="E52" t="s">
        <v>18</v>
      </c>
      <c r="F52" t="s">
        <v>19</v>
      </c>
      <c r="G52">
        <v>19544</v>
      </c>
      <c r="H52" t="s">
        <v>20</v>
      </c>
      <c r="I52" t="s">
        <v>24</v>
      </c>
      <c r="J52" t="s">
        <v>21</v>
      </c>
      <c r="K52" t="s">
        <v>24</v>
      </c>
      <c r="L52" t="s">
        <v>24</v>
      </c>
      <c r="M52">
        <v>1.1000000000000001</v>
      </c>
      <c r="N52">
        <v>257</v>
      </c>
      <c r="O52">
        <v>3.36</v>
      </c>
      <c r="P52">
        <v>43</v>
      </c>
      <c r="Q52">
        <v>106.95</v>
      </c>
      <c r="R52">
        <v>73</v>
      </c>
      <c r="S52">
        <v>128</v>
      </c>
      <c r="T52">
        <v>10.6</v>
      </c>
      <c r="U52">
        <v>4</v>
      </c>
    </row>
    <row r="53" spans="4:21" x14ac:dyDescent="0.3">
      <c r="D53">
        <v>3853</v>
      </c>
      <c r="E53" t="s">
        <v>18</v>
      </c>
      <c r="F53" t="s">
        <v>31</v>
      </c>
      <c r="G53">
        <v>19025</v>
      </c>
      <c r="H53" t="s">
        <v>20</v>
      </c>
      <c r="I53" t="s">
        <v>24</v>
      </c>
      <c r="J53" t="s">
        <v>24</v>
      </c>
      <c r="K53" t="s">
        <v>24</v>
      </c>
      <c r="L53" t="s">
        <v>24</v>
      </c>
      <c r="M53">
        <v>0.8</v>
      </c>
      <c r="N53">
        <v>276</v>
      </c>
      <c r="O53">
        <v>3.6</v>
      </c>
      <c r="P53">
        <v>54</v>
      </c>
      <c r="Q53">
        <v>99.33</v>
      </c>
      <c r="R53">
        <v>143</v>
      </c>
      <c r="S53">
        <v>273</v>
      </c>
      <c r="T53">
        <v>10.6</v>
      </c>
      <c r="U53">
        <v>2</v>
      </c>
    </row>
    <row r="54" spans="4:21" x14ac:dyDescent="0.3">
      <c r="D54">
        <v>2386</v>
      </c>
      <c r="E54" t="s">
        <v>18</v>
      </c>
      <c r="F54" t="s">
        <v>19</v>
      </c>
      <c r="G54">
        <v>18460</v>
      </c>
      <c r="H54" t="s">
        <v>26</v>
      </c>
      <c r="I54" t="s">
        <v>24</v>
      </c>
      <c r="J54" t="s">
        <v>24</v>
      </c>
      <c r="K54" t="s">
        <v>24</v>
      </c>
      <c r="L54" t="s">
        <v>24</v>
      </c>
      <c r="M54">
        <v>6</v>
      </c>
      <c r="N54">
        <v>614</v>
      </c>
      <c r="O54">
        <v>3.7</v>
      </c>
      <c r="P54">
        <v>158</v>
      </c>
      <c r="Q54">
        <v>206.4</v>
      </c>
      <c r="R54">
        <v>93</v>
      </c>
      <c r="S54">
        <v>362</v>
      </c>
      <c r="T54">
        <v>10.6</v>
      </c>
      <c r="U54">
        <v>1</v>
      </c>
    </row>
    <row r="55" spans="4:21" x14ac:dyDescent="0.3">
      <c r="D55">
        <v>1000</v>
      </c>
      <c r="E55" t="s">
        <v>18</v>
      </c>
      <c r="F55" t="s">
        <v>19</v>
      </c>
      <c r="G55">
        <v>24621</v>
      </c>
      <c r="H55" t="s">
        <v>20</v>
      </c>
      <c r="I55" t="s">
        <v>24</v>
      </c>
      <c r="J55" t="s">
        <v>21</v>
      </c>
      <c r="K55" t="s">
        <v>24</v>
      </c>
      <c r="L55" t="s">
        <v>24</v>
      </c>
      <c r="M55">
        <v>2.6</v>
      </c>
      <c r="N55" s="10">
        <v>371</v>
      </c>
      <c r="O55">
        <v>3.1</v>
      </c>
      <c r="P55">
        <v>94</v>
      </c>
      <c r="Q55">
        <v>56.76</v>
      </c>
      <c r="R55" s="10">
        <v>123</v>
      </c>
      <c r="S55">
        <v>214</v>
      </c>
      <c r="T55">
        <v>11</v>
      </c>
      <c r="U55">
        <v>4</v>
      </c>
    </row>
    <row r="56" spans="4:21" x14ac:dyDescent="0.3">
      <c r="D56">
        <v>1434</v>
      </c>
      <c r="E56" t="s">
        <v>18</v>
      </c>
      <c r="F56" t="s">
        <v>19</v>
      </c>
      <c r="G56">
        <v>14317</v>
      </c>
      <c r="H56" t="s">
        <v>20</v>
      </c>
      <c r="I56" t="s">
        <v>21</v>
      </c>
      <c r="J56" t="s">
        <v>21</v>
      </c>
      <c r="K56" t="s">
        <v>21</v>
      </c>
      <c r="L56" t="s">
        <v>21</v>
      </c>
      <c r="M56">
        <v>1.3</v>
      </c>
      <c r="N56">
        <v>288</v>
      </c>
      <c r="O56">
        <v>3.4</v>
      </c>
      <c r="P56">
        <v>262</v>
      </c>
      <c r="Q56">
        <v>73.53</v>
      </c>
      <c r="R56">
        <v>125</v>
      </c>
      <c r="S56">
        <v>254</v>
      </c>
      <c r="T56">
        <v>11</v>
      </c>
      <c r="U56">
        <v>4</v>
      </c>
    </row>
    <row r="57" spans="4:21" x14ac:dyDescent="0.3">
      <c r="D57">
        <v>1360</v>
      </c>
      <c r="E57" t="s">
        <v>18</v>
      </c>
      <c r="F57" t="s">
        <v>19</v>
      </c>
      <c r="G57">
        <v>24020</v>
      </c>
      <c r="H57" t="s">
        <v>26</v>
      </c>
      <c r="I57" t="s">
        <v>24</v>
      </c>
      <c r="J57" t="s">
        <v>24</v>
      </c>
      <c r="K57" t="s">
        <v>24</v>
      </c>
      <c r="L57" t="s">
        <v>24</v>
      </c>
      <c r="M57">
        <v>1.8</v>
      </c>
      <c r="N57">
        <v>416</v>
      </c>
      <c r="O57">
        <v>3.94</v>
      </c>
      <c r="P57">
        <v>121</v>
      </c>
      <c r="Q57">
        <v>79.98</v>
      </c>
      <c r="R57">
        <v>219</v>
      </c>
      <c r="S57">
        <v>213</v>
      </c>
      <c r="T57">
        <v>11</v>
      </c>
      <c r="U57">
        <v>3</v>
      </c>
    </row>
    <row r="58" spans="4:21" x14ac:dyDescent="0.3">
      <c r="D58">
        <v>1847</v>
      </c>
      <c r="E58" t="s">
        <v>18</v>
      </c>
      <c r="F58" t="s">
        <v>31</v>
      </c>
      <c r="G58">
        <v>12279</v>
      </c>
      <c r="H58" t="s">
        <v>20</v>
      </c>
      <c r="I58" t="s">
        <v>24</v>
      </c>
      <c r="J58" t="s">
        <v>21</v>
      </c>
      <c r="K58" t="s">
        <v>21</v>
      </c>
      <c r="L58" t="s">
        <v>24</v>
      </c>
      <c r="M58">
        <v>1.1000000000000001</v>
      </c>
      <c r="N58">
        <v>498</v>
      </c>
      <c r="O58">
        <v>3.8</v>
      </c>
      <c r="P58">
        <v>88</v>
      </c>
      <c r="Q58">
        <v>95.46</v>
      </c>
      <c r="R58">
        <v>319</v>
      </c>
      <c r="S58">
        <v>365</v>
      </c>
      <c r="T58">
        <v>10.6</v>
      </c>
      <c r="U58">
        <v>2</v>
      </c>
    </row>
    <row r="59" spans="4:21" x14ac:dyDescent="0.3">
      <c r="D59">
        <v>3282</v>
      </c>
      <c r="E59" t="s">
        <v>18</v>
      </c>
      <c r="F59" t="s">
        <v>19</v>
      </c>
      <c r="G59">
        <v>19567</v>
      </c>
      <c r="H59" t="s">
        <v>20</v>
      </c>
      <c r="I59" t="s">
        <v>24</v>
      </c>
      <c r="J59" t="s">
        <v>21</v>
      </c>
      <c r="K59" t="s">
        <v>24</v>
      </c>
      <c r="L59" t="s">
        <v>27</v>
      </c>
      <c r="M59">
        <v>2.2999999999999998</v>
      </c>
      <c r="N59">
        <v>260</v>
      </c>
      <c r="O59">
        <v>3.18</v>
      </c>
      <c r="P59">
        <v>231</v>
      </c>
      <c r="Q59">
        <v>105.78</v>
      </c>
      <c r="R59">
        <v>94</v>
      </c>
      <c r="S59">
        <v>216</v>
      </c>
      <c r="T59">
        <v>12.4</v>
      </c>
      <c r="U59">
        <v>3</v>
      </c>
    </row>
    <row r="60" spans="4:21" x14ac:dyDescent="0.3">
      <c r="D60">
        <v>4459</v>
      </c>
      <c r="E60" t="s">
        <v>23</v>
      </c>
      <c r="F60" t="s">
        <v>19</v>
      </c>
      <c r="G60">
        <v>16279</v>
      </c>
      <c r="H60" t="s">
        <v>26</v>
      </c>
      <c r="I60" t="s">
        <v>24</v>
      </c>
      <c r="J60" t="s">
        <v>24</v>
      </c>
      <c r="K60" t="s">
        <v>24</v>
      </c>
      <c r="L60" t="s">
        <v>24</v>
      </c>
      <c r="M60">
        <v>0.7</v>
      </c>
      <c r="N60">
        <v>242</v>
      </c>
      <c r="O60">
        <v>4.08</v>
      </c>
      <c r="P60">
        <v>73</v>
      </c>
      <c r="Q60">
        <v>56.76</v>
      </c>
      <c r="R60">
        <v>118</v>
      </c>
      <c r="S60" s="10">
        <v>262</v>
      </c>
      <c r="T60">
        <v>10.6</v>
      </c>
      <c r="U60">
        <v>1</v>
      </c>
    </row>
    <row r="61" spans="4:21" x14ac:dyDescent="0.3">
      <c r="D61">
        <v>2224</v>
      </c>
      <c r="E61" t="s">
        <v>18</v>
      </c>
      <c r="F61" t="s">
        <v>19</v>
      </c>
      <c r="G61">
        <v>14754</v>
      </c>
      <c r="H61" t="s">
        <v>20</v>
      </c>
      <c r="I61" t="s">
        <v>24</v>
      </c>
      <c r="J61" t="s">
        <v>21</v>
      </c>
      <c r="K61" t="s">
        <v>21</v>
      </c>
      <c r="L61" t="s">
        <v>24</v>
      </c>
      <c r="M61">
        <v>0.8</v>
      </c>
      <c r="N61">
        <v>329</v>
      </c>
      <c r="O61">
        <v>3.5</v>
      </c>
      <c r="P61">
        <v>49</v>
      </c>
      <c r="Q61">
        <v>126.42</v>
      </c>
      <c r="R61">
        <v>124</v>
      </c>
      <c r="S61">
        <v>321</v>
      </c>
      <c r="T61">
        <v>10.6</v>
      </c>
      <c r="U61">
        <v>3</v>
      </c>
    </row>
    <row r="62" spans="4:21" x14ac:dyDescent="0.3">
      <c r="D62">
        <v>4365</v>
      </c>
      <c r="E62" t="s">
        <v>23</v>
      </c>
      <c r="F62" t="s">
        <v>19</v>
      </c>
      <c r="G62">
        <v>21324</v>
      </c>
      <c r="H62" t="s">
        <v>20</v>
      </c>
      <c r="I62" t="s">
        <v>24</v>
      </c>
      <c r="J62" t="s">
        <v>24</v>
      </c>
      <c r="K62" t="s">
        <v>24</v>
      </c>
      <c r="L62" t="s">
        <v>24</v>
      </c>
      <c r="M62">
        <v>0.9</v>
      </c>
      <c r="N62">
        <v>604</v>
      </c>
      <c r="O62">
        <v>3.4</v>
      </c>
      <c r="P62">
        <v>82</v>
      </c>
      <c r="Q62">
        <v>71.3</v>
      </c>
      <c r="R62">
        <v>58</v>
      </c>
      <c r="S62">
        <v>228</v>
      </c>
      <c r="T62">
        <v>10.3</v>
      </c>
      <c r="U62">
        <v>3</v>
      </c>
    </row>
    <row r="63" spans="4:21" x14ac:dyDescent="0.3">
      <c r="D63">
        <v>4256</v>
      </c>
      <c r="E63" t="s">
        <v>23</v>
      </c>
      <c r="F63" t="s">
        <v>31</v>
      </c>
      <c r="G63">
        <v>16034</v>
      </c>
      <c r="H63" t="s">
        <v>26</v>
      </c>
      <c r="I63" t="s">
        <v>24</v>
      </c>
      <c r="J63" t="s">
        <v>24</v>
      </c>
      <c r="K63" t="s">
        <v>24</v>
      </c>
      <c r="L63" t="s">
        <v>24</v>
      </c>
      <c r="M63">
        <v>0.6</v>
      </c>
      <c r="N63">
        <v>216</v>
      </c>
      <c r="O63">
        <v>3.94</v>
      </c>
      <c r="P63">
        <v>28</v>
      </c>
      <c r="Q63">
        <v>60.45</v>
      </c>
      <c r="R63">
        <v>188</v>
      </c>
      <c r="S63">
        <v>211</v>
      </c>
      <c r="T63">
        <v>13</v>
      </c>
      <c r="U63">
        <v>1</v>
      </c>
    </row>
    <row r="64" spans="4:21" x14ac:dyDescent="0.3">
      <c r="D64">
        <v>3090</v>
      </c>
      <c r="E64" t="s">
        <v>18</v>
      </c>
      <c r="F64" t="s">
        <v>31</v>
      </c>
      <c r="G64">
        <v>22173</v>
      </c>
      <c r="H64" t="s">
        <v>20</v>
      </c>
      <c r="I64" t="s">
        <v>21</v>
      </c>
      <c r="J64" t="s">
        <v>24</v>
      </c>
      <c r="K64" t="s">
        <v>24</v>
      </c>
      <c r="L64" t="s">
        <v>24</v>
      </c>
      <c r="M64">
        <v>1.3</v>
      </c>
      <c r="N64">
        <v>302</v>
      </c>
      <c r="O64">
        <v>2.75</v>
      </c>
      <c r="P64">
        <v>58</v>
      </c>
      <c r="Q64">
        <v>43.4</v>
      </c>
      <c r="R64">
        <v>112</v>
      </c>
      <c r="S64">
        <v>329</v>
      </c>
      <c r="T64">
        <v>13.2</v>
      </c>
      <c r="U64">
        <v>4</v>
      </c>
    </row>
    <row r="65" spans="4:21" x14ac:dyDescent="0.3">
      <c r="D65">
        <v>859</v>
      </c>
      <c r="E65" t="s">
        <v>18</v>
      </c>
      <c r="F65" t="s">
        <v>31</v>
      </c>
      <c r="G65">
        <v>17031</v>
      </c>
      <c r="H65" t="s">
        <v>20</v>
      </c>
      <c r="I65" t="s">
        <v>24</v>
      </c>
      <c r="J65" t="s">
        <v>24</v>
      </c>
      <c r="K65" t="s">
        <v>21</v>
      </c>
      <c r="L65" t="s">
        <v>21</v>
      </c>
      <c r="M65" s="19">
        <v>17.399999999999999</v>
      </c>
      <c r="N65">
        <v>932</v>
      </c>
      <c r="O65">
        <v>3.12</v>
      </c>
      <c r="P65">
        <v>95</v>
      </c>
      <c r="Q65">
        <v>244.9</v>
      </c>
      <c r="R65">
        <v>133</v>
      </c>
      <c r="S65">
        <v>165</v>
      </c>
      <c r="T65">
        <v>11.6</v>
      </c>
      <c r="U65">
        <v>3</v>
      </c>
    </row>
    <row r="66" spans="4:21" x14ac:dyDescent="0.3">
      <c r="D66">
        <v>1487</v>
      </c>
      <c r="E66" t="s">
        <v>18</v>
      </c>
      <c r="F66" t="s">
        <v>31</v>
      </c>
      <c r="G66">
        <v>22977</v>
      </c>
      <c r="H66" t="s">
        <v>20</v>
      </c>
      <c r="I66" t="s">
        <v>24</v>
      </c>
      <c r="J66" t="s">
        <v>21</v>
      </c>
      <c r="K66" t="s">
        <v>24</v>
      </c>
      <c r="L66" t="s">
        <v>24</v>
      </c>
      <c r="M66">
        <v>2.1</v>
      </c>
      <c r="N66">
        <v>373</v>
      </c>
      <c r="O66">
        <v>3.5</v>
      </c>
      <c r="P66">
        <v>52</v>
      </c>
      <c r="Q66">
        <v>150.35</v>
      </c>
      <c r="R66">
        <v>188</v>
      </c>
      <c r="S66">
        <v>178</v>
      </c>
      <c r="T66">
        <v>11</v>
      </c>
      <c r="U66">
        <v>3</v>
      </c>
    </row>
    <row r="67" spans="4:21" x14ac:dyDescent="0.3">
      <c r="D67">
        <v>3992</v>
      </c>
      <c r="E67" t="s">
        <v>23</v>
      </c>
      <c r="F67" t="s">
        <v>19</v>
      </c>
      <c r="G67">
        <v>14684</v>
      </c>
      <c r="H67" t="s">
        <v>20</v>
      </c>
      <c r="I67" t="s">
        <v>24</v>
      </c>
      <c r="J67" t="s">
        <v>24</v>
      </c>
      <c r="K67" t="s">
        <v>24</v>
      </c>
      <c r="L67" t="s">
        <v>24</v>
      </c>
      <c r="M67">
        <v>1.2</v>
      </c>
      <c r="N67">
        <v>256</v>
      </c>
      <c r="O67">
        <v>3.6</v>
      </c>
      <c r="P67">
        <v>74</v>
      </c>
      <c r="Q67">
        <v>141.05000000000001</v>
      </c>
      <c r="R67">
        <v>108</v>
      </c>
      <c r="S67">
        <v>430</v>
      </c>
      <c r="T67">
        <v>10</v>
      </c>
      <c r="U67">
        <v>1</v>
      </c>
    </row>
    <row r="68" spans="4:21" x14ac:dyDescent="0.3">
      <c r="D68">
        <v>4191</v>
      </c>
      <c r="E68" t="s">
        <v>18</v>
      </c>
      <c r="F68" t="s">
        <v>19</v>
      </c>
      <c r="G68">
        <v>16967</v>
      </c>
      <c r="H68" t="s">
        <v>26</v>
      </c>
      <c r="I68" t="s">
        <v>24</v>
      </c>
      <c r="J68" t="s">
        <v>21</v>
      </c>
      <c r="K68" t="s">
        <v>24</v>
      </c>
      <c r="L68" t="s">
        <v>24</v>
      </c>
      <c r="M68">
        <v>1.4</v>
      </c>
      <c r="N68">
        <v>427</v>
      </c>
      <c r="O68">
        <v>3.7</v>
      </c>
      <c r="P68">
        <v>105</v>
      </c>
      <c r="Q68">
        <v>182.9</v>
      </c>
      <c r="R68">
        <v>171</v>
      </c>
      <c r="S68">
        <v>123</v>
      </c>
      <c r="T68">
        <v>11</v>
      </c>
      <c r="U68">
        <v>3</v>
      </c>
    </row>
    <row r="69" spans="4:21" x14ac:dyDescent="0.3">
      <c r="D69">
        <v>2769</v>
      </c>
      <c r="E69" t="s">
        <v>18</v>
      </c>
      <c r="F69" t="s">
        <v>31</v>
      </c>
      <c r="G69">
        <v>18733</v>
      </c>
      <c r="H69" t="s">
        <v>20</v>
      </c>
      <c r="I69" t="s">
        <v>24</v>
      </c>
      <c r="J69" t="s">
        <v>24</v>
      </c>
      <c r="K69" t="s">
        <v>24</v>
      </c>
      <c r="L69" t="s">
        <v>24</v>
      </c>
      <c r="M69">
        <v>1.1000000000000001</v>
      </c>
      <c r="N69">
        <v>466</v>
      </c>
      <c r="O69">
        <v>3.91</v>
      </c>
      <c r="P69">
        <v>84</v>
      </c>
      <c r="Q69" s="19">
        <v>246.45</v>
      </c>
      <c r="R69">
        <v>185</v>
      </c>
      <c r="S69">
        <v>261</v>
      </c>
      <c r="T69">
        <v>10</v>
      </c>
      <c r="U69">
        <v>3</v>
      </c>
    </row>
    <row r="70" spans="4:21" x14ac:dyDescent="0.3">
      <c r="D70">
        <v>4039</v>
      </c>
      <c r="E70" t="s">
        <v>23</v>
      </c>
      <c r="F70" t="s">
        <v>19</v>
      </c>
      <c r="G70">
        <v>11912</v>
      </c>
      <c r="H70" t="s">
        <v>20</v>
      </c>
      <c r="I70" t="s">
        <v>24</v>
      </c>
      <c r="J70" t="s">
        <v>24</v>
      </c>
      <c r="K70" t="s">
        <v>24</v>
      </c>
      <c r="L70" t="s">
        <v>24</v>
      </c>
      <c r="M70">
        <v>0.7</v>
      </c>
      <c r="N70">
        <v>174</v>
      </c>
      <c r="O70">
        <v>4.09</v>
      </c>
      <c r="P70">
        <v>58</v>
      </c>
      <c r="Q70">
        <v>71.3</v>
      </c>
      <c r="R70">
        <v>46</v>
      </c>
      <c r="S70">
        <v>203</v>
      </c>
      <c r="T70">
        <v>10.6</v>
      </c>
      <c r="U70">
        <v>3</v>
      </c>
    </row>
    <row r="71" spans="4:21" x14ac:dyDescent="0.3">
      <c r="D71">
        <v>1170</v>
      </c>
      <c r="E71" t="s">
        <v>18</v>
      </c>
      <c r="F71" t="s">
        <v>19</v>
      </c>
      <c r="G71">
        <v>18021</v>
      </c>
      <c r="H71" t="s">
        <v>20</v>
      </c>
      <c r="I71" t="s">
        <v>24</v>
      </c>
      <c r="J71" t="s">
        <v>21</v>
      </c>
      <c r="K71" t="s">
        <v>21</v>
      </c>
      <c r="L71" t="s">
        <v>27</v>
      </c>
      <c r="M71">
        <v>20</v>
      </c>
      <c r="N71">
        <v>652</v>
      </c>
      <c r="O71">
        <v>3.46</v>
      </c>
      <c r="P71">
        <v>159</v>
      </c>
      <c r="Q71">
        <v>215.45</v>
      </c>
      <c r="R71">
        <v>184</v>
      </c>
      <c r="S71">
        <v>227</v>
      </c>
      <c r="T71">
        <v>12.4</v>
      </c>
      <c r="U71">
        <v>3</v>
      </c>
    </row>
    <row r="72" spans="4:21" x14ac:dyDescent="0.3">
      <c r="D72">
        <v>3458</v>
      </c>
      <c r="E72" t="s">
        <v>23</v>
      </c>
      <c r="F72" t="s">
        <v>19</v>
      </c>
      <c r="G72">
        <v>20600</v>
      </c>
      <c r="H72" t="s">
        <v>20</v>
      </c>
      <c r="I72" t="s">
        <v>24</v>
      </c>
      <c r="J72" t="s">
        <v>24</v>
      </c>
      <c r="K72" t="s">
        <v>24</v>
      </c>
      <c r="L72" t="s">
        <v>24</v>
      </c>
      <c r="M72">
        <v>0.6</v>
      </c>
      <c r="N72" s="10">
        <v>371</v>
      </c>
      <c r="O72">
        <v>4.6399999999999997</v>
      </c>
      <c r="P72">
        <v>20</v>
      </c>
      <c r="Q72">
        <v>54.25</v>
      </c>
      <c r="R72" s="10">
        <v>123</v>
      </c>
      <c r="S72">
        <v>265</v>
      </c>
      <c r="T72">
        <v>10.6</v>
      </c>
      <c r="U72">
        <v>2</v>
      </c>
    </row>
    <row r="73" spans="4:21" x14ac:dyDescent="0.3">
      <c r="D73">
        <v>4196</v>
      </c>
      <c r="E73" t="s">
        <v>23</v>
      </c>
      <c r="F73" t="s">
        <v>31</v>
      </c>
      <c r="G73">
        <v>17841</v>
      </c>
      <c r="H73" t="s">
        <v>20</v>
      </c>
      <c r="I73" t="s">
        <v>24</v>
      </c>
      <c r="J73" t="s">
        <v>21</v>
      </c>
      <c r="K73" t="s">
        <v>24</v>
      </c>
      <c r="L73" t="s">
        <v>24</v>
      </c>
      <c r="M73">
        <v>1.2</v>
      </c>
      <c r="N73">
        <v>258</v>
      </c>
      <c r="O73">
        <v>3.57</v>
      </c>
      <c r="P73">
        <v>79</v>
      </c>
      <c r="Q73">
        <v>120.9</v>
      </c>
      <c r="R73">
        <v>76</v>
      </c>
      <c r="S73">
        <v>410</v>
      </c>
      <c r="T73">
        <v>11.5</v>
      </c>
      <c r="U73">
        <v>4</v>
      </c>
    </row>
    <row r="74" spans="4:21" x14ac:dyDescent="0.3">
      <c r="D74">
        <v>4184</v>
      </c>
      <c r="E74" t="s">
        <v>23</v>
      </c>
      <c r="F74" t="s">
        <v>31</v>
      </c>
      <c r="G74">
        <v>11868</v>
      </c>
      <c r="H74" t="s">
        <v>20</v>
      </c>
      <c r="I74" t="s">
        <v>24</v>
      </c>
      <c r="J74" t="s">
        <v>24</v>
      </c>
      <c r="K74" t="s">
        <v>24</v>
      </c>
      <c r="L74" t="s">
        <v>24</v>
      </c>
      <c r="M74">
        <v>0.5</v>
      </c>
      <c r="N74">
        <v>320</v>
      </c>
      <c r="O74">
        <v>3.54</v>
      </c>
      <c r="P74">
        <v>51</v>
      </c>
      <c r="Q74">
        <v>122.45</v>
      </c>
      <c r="R74">
        <v>80</v>
      </c>
      <c r="S74">
        <v>225</v>
      </c>
      <c r="T74">
        <v>10</v>
      </c>
      <c r="U74">
        <v>3</v>
      </c>
    </row>
    <row r="75" spans="4:21" x14ac:dyDescent="0.3">
      <c r="D75">
        <v>4190</v>
      </c>
      <c r="E75" t="s">
        <v>23</v>
      </c>
      <c r="F75" t="s">
        <v>31</v>
      </c>
      <c r="G75">
        <v>14060</v>
      </c>
      <c r="H75" t="s">
        <v>20</v>
      </c>
      <c r="I75" t="s">
        <v>24</v>
      </c>
      <c r="J75" t="s">
        <v>24</v>
      </c>
      <c r="K75" t="s">
        <v>24</v>
      </c>
      <c r="L75" t="s">
        <v>24</v>
      </c>
      <c r="M75">
        <v>0.7</v>
      </c>
      <c r="N75">
        <v>132</v>
      </c>
      <c r="O75">
        <v>3.6</v>
      </c>
      <c r="P75">
        <v>17</v>
      </c>
      <c r="Q75">
        <v>49.6</v>
      </c>
      <c r="R75">
        <v>56</v>
      </c>
      <c r="S75">
        <v>265</v>
      </c>
      <c r="T75">
        <v>11</v>
      </c>
      <c r="U75">
        <v>1</v>
      </c>
    </row>
    <row r="76" spans="4:21" x14ac:dyDescent="0.3">
      <c r="D76">
        <v>1827</v>
      </c>
      <c r="E76" t="s">
        <v>18</v>
      </c>
      <c r="F76" t="s">
        <v>19</v>
      </c>
      <c r="G76">
        <v>18964</v>
      </c>
      <c r="H76" t="s">
        <v>20</v>
      </c>
      <c r="I76" t="s">
        <v>24</v>
      </c>
      <c r="J76" t="s">
        <v>21</v>
      </c>
      <c r="K76" t="s">
        <v>21</v>
      </c>
      <c r="L76" t="s">
        <v>24</v>
      </c>
      <c r="M76">
        <v>8.4</v>
      </c>
      <c r="N76">
        <v>558</v>
      </c>
      <c r="O76">
        <v>3.99</v>
      </c>
      <c r="P76">
        <v>280</v>
      </c>
      <c r="Q76">
        <v>89.9</v>
      </c>
      <c r="R76">
        <v>309</v>
      </c>
      <c r="S76">
        <v>278</v>
      </c>
      <c r="T76">
        <v>11</v>
      </c>
      <c r="U76">
        <v>4</v>
      </c>
    </row>
    <row r="77" spans="4:21" x14ac:dyDescent="0.3">
      <c r="D77">
        <v>1191</v>
      </c>
      <c r="E77" t="s">
        <v>18</v>
      </c>
      <c r="F77" t="s">
        <v>19</v>
      </c>
      <c r="G77">
        <v>15895</v>
      </c>
      <c r="H77" t="s">
        <v>20</v>
      </c>
      <c r="I77" t="s">
        <v>21</v>
      </c>
      <c r="J77" t="s">
        <v>21</v>
      </c>
      <c r="K77" t="s">
        <v>21</v>
      </c>
      <c r="L77" t="s">
        <v>27</v>
      </c>
      <c r="M77">
        <v>17.100000000000001</v>
      </c>
      <c r="N77">
        <v>674</v>
      </c>
      <c r="O77">
        <v>2.5299999999999998</v>
      </c>
      <c r="P77">
        <v>207</v>
      </c>
      <c r="Q77">
        <v>182.9</v>
      </c>
      <c r="R77" s="19">
        <v>319</v>
      </c>
      <c r="S77">
        <v>268</v>
      </c>
      <c r="T77">
        <v>11.5</v>
      </c>
      <c r="U77">
        <v>4</v>
      </c>
    </row>
    <row r="78" spans="4:21" x14ac:dyDescent="0.3">
      <c r="D78">
        <v>71</v>
      </c>
      <c r="E78" t="s">
        <v>18</v>
      </c>
      <c r="F78" t="s">
        <v>19</v>
      </c>
      <c r="G78">
        <v>18972</v>
      </c>
      <c r="H78" t="s">
        <v>20</v>
      </c>
      <c r="I78" t="s">
        <v>24</v>
      </c>
      <c r="J78" t="s">
        <v>21</v>
      </c>
      <c r="K78" t="s">
        <v>21</v>
      </c>
      <c r="L78" t="s">
        <v>27</v>
      </c>
      <c r="M78">
        <v>12.2</v>
      </c>
      <c r="N78">
        <v>394</v>
      </c>
      <c r="O78">
        <v>3.08</v>
      </c>
      <c r="P78">
        <v>111</v>
      </c>
      <c r="Q78">
        <v>155</v>
      </c>
      <c r="R78">
        <v>243</v>
      </c>
      <c r="S78">
        <v>165</v>
      </c>
      <c r="T78">
        <v>11.6</v>
      </c>
      <c r="U78">
        <v>4</v>
      </c>
    </row>
    <row r="79" spans="4:21" x14ac:dyDescent="0.3">
      <c r="D79">
        <v>326</v>
      </c>
      <c r="E79" t="s">
        <v>18</v>
      </c>
      <c r="F79" t="s">
        <v>31</v>
      </c>
      <c r="G79">
        <v>18199</v>
      </c>
      <c r="H79" t="s">
        <v>20</v>
      </c>
      <c r="I79" t="s">
        <v>24</v>
      </c>
      <c r="J79" t="s">
        <v>21</v>
      </c>
      <c r="K79" t="s">
        <v>21</v>
      </c>
      <c r="L79" t="s">
        <v>27</v>
      </c>
      <c r="M79">
        <v>6.6</v>
      </c>
      <c r="N79">
        <v>244</v>
      </c>
      <c r="O79">
        <v>3.41</v>
      </c>
      <c r="P79">
        <v>199</v>
      </c>
      <c r="Q79">
        <v>170.5</v>
      </c>
      <c r="R79">
        <v>91</v>
      </c>
      <c r="S79">
        <v>132</v>
      </c>
      <c r="T79">
        <v>12.1</v>
      </c>
      <c r="U79">
        <v>3</v>
      </c>
    </row>
    <row r="80" spans="4:21" x14ac:dyDescent="0.3">
      <c r="D80">
        <v>1690</v>
      </c>
      <c r="E80" t="s">
        <v>18</v>
      </c>
      <c r="F80" t="s">
        <v>19</v>
      </c>
      <c r="G80">
        <v>17512</v>
      </c>
      <c r="H80" t="s">
        <v>20</v>
      </c>
      <c r="I80" t="s">
        <v>24</v>
      </c>
      <c r="J80" t="s">
        <v>21</v>
      </c>
      <c r="K80" t="s">
        <v>24</v>
      </c>
      <c r="L80" t="s">
        <v>24</v>
      </c>
      <c r="M80">
        <v>6.3</v>
      </c>
      <c r="N80">
        <v>436</v>
      </c>
      <c r="O80">
        <v>3.02</v>
      </c>
      <c r="P80">
        <v>75</v>
      </c>
      <c r="Q80">
        <v>170.5</v>
      </c>
      <c r="R80">
        <v>104</v>
      </c>
      <c r="S80">
        <v>236</v>
      </c>
      <c r="T80">
        <v>10.6</v>
      </c>
      <c r="U80">
        <v>4</v>
      </c>
    </row>
    <row r="81" spans="4:21" x14ac:dyDescent="0.3">
      <c r="D81">
        <v>3707</v>
      </c>
      <c r="E81" t="s">
        <v>23</v>
      </c>
      <c r="F81" t="s">
        <v>19</v>
      </c>
      <c r="G81">
        <v>16990</v>
      </c>
      <c r="H81" t="s">
        <v>20</v>
      </c>
      <c r="I81" t="s">
        <v>24</v>
      </c>
      <c r="J81" t="s">
        <v>21</v>
      </c>
      <c r="K81" t="s">
        <v>24</v>
      </c>
      <c r="L81" t="s">
        <v>24</v>
      </c>
      <c r="M81">
        <v>0.8</v>
      </c>
      <c r="N81">
        <v>315</v>
      </c>
      <c r="O81">
        <v>4.24</v>
      </c>
      <c r="P81">
        <v>13</v>
      </c>
      <c r="Q81">
        <v>170.5</v>
      </c>
      <c r="R81">
        <v>70</v>
      </c>
      <c r="S81">
        <v>426</v>
      </c>
      <c r="T81">
        <v>10.9</v>
      </c>
      <c r="U81">
        <v>3</v>
      </c>
    </row>
    <row r="82" spans="4:21" x14ac:dyDescent="0.3">
      <c r="D82">
        <v>890</v>
      </c>
      <c r="E82" t="s">
        <v>18</v>
      </c>
      <c r="F82" t="s">
        <v>31</v>
      </c>
      <c r="G82">
        <v>24622</v>
      </c>
      <c r="H82" t="s">
        <v>26</v>
      </c>
      <c r="I82" t="s">
        <v>24</v>
      </c>
      <c r="J82" t="s">
        <v>21</v>
      </c>
      <c r="K82" t="s">
        <v>24</v>
      </c>
      <c r="L82" t="s">
        <v>24</v>
      </c>
      <c r="M82">
        <v>7.2</v>
      </c>
      <c r="N82">
        <v>247</v>
      </c>
      <c r="O82">
        <v>3.72</v>
      </c>
      <c r="P82">
        <v>269</v>
      </c>
      <c r="Q82">
        <v>176.7</v>
      </c>
      <c r="R82">
        <v>91</v>
      </c>
      <c r="S82">
        <v>360</v>
      </c>
      <c r="T82">
        <v>11.2</v>
      </c>
      <c r="U82">
        <v>4</v>
      </c>
    </row>
    <row r="83" spans="4:21" x14ac:dyDescent="0.3">
      <c r="D83">
        <v>2540</v>
      </c>
      <c r="E83" t="s">
        <v>18</v>
      </c>
      <c r="F83" t="s">
        <v>19</v>
      </c>
      <c r="G83">
        <v>23107</v>
      </c>
      <c r="H83" t="s">
        <v>20</v>
      </c>
      <c r="I83" t="s">
        <v>24</v>
      </c>
      <c r="J83" t="s">
        <v>21</v>
      </c>
      <c r="K83" t="s">
        <v>21</v>
      </c>
      <c r="L83" t="s">
        <v>24</v>
      </c>
      <c r="M83">
        <v>14.4</v>
      </c>
      <c r="N83">
        <v>448</v>
      </c>
      <c r="O83">
        <v>3.65</v>
      </c>
      <c r="P83">
        <v>34</v>
      </c>
      <c r="Q83">
        <v>60.45</v>
      </c>
      <c r="R83">
        <v>318</v>
      </c>
      <c r="S83">
        <v>385</v>
      </c>
      <c r="T83">
        <v>11.7</v>
      </c>
      <c r="U83">
        <v>4</v>
      </c>
    </row>
    <row r="84" spans="4:21" x14ac:dyDescent="0.3">
      <c r="D84">
        <v>3574</v>
      </c>
      <c r="E84" t="s">
        <v>18</v>
      </c>
      <c r="F84" t="s">
        <v>19</v>
      </c>
      <c r="G84">
        <v>24585</v>
      </c>
      <c r="H84" t="s">
        <v>20</v>
      </c>
      <c r="I84" t="s">
        <v>24</v>
      </c>
      <c r="J84" t="s">
        <v>24</v>
      </c>
      <c r="K84" t="s">
        <v>24</v>
      </c>
      <c r="L84" t="s">
        <v>24</v>
      </c>
      <c r="M84">
        <v>4.5</v>
      </c>
      <c r="N84">
        <v>472</v>
      </c>
      <c r="O84">
        <v>4.09</v>
      </c>
      <c r="P84">
        <v>154</v>
      </c>
      <c r="Q84">
        <v>117.8</v>
      </c>
      <c r="R84">
        <v>272</v>
      </c>
      <c r="S84">
        <v>412</v>
      </c>
      <c r="T84">
        <v>11.1</v>
      </c>
      <c r="U84">
        <v>3</v>
      </c>
    </row>
    <row r="85" spans="4:21" x14ac:dyDescent="0.3">
      <c r="D85">
        <v>4050</v>
      </c>
      <c r="E85" t="s">
        <v>23</v>
      </c>
      <c r="F85" t="s">
        <v>19</v>
      </c>
      <c r="G85">
        <v>20459</v>
      </c>
      <c r="H85" t="s">
        <v>20</v>
      </c>
      <c r="I85" t="s">
        <v>24</v>
      </c>
      <c r="J85" t="s">
        <v>21</v>
      </c>
      <c r="K85" t="s">
        <v>24</v>
      </c>
      <c r="L85" t="s">
        <v>27</v>
      </c>
      <c r="M85">
        <v>1.3</v>
      </c>
      <c r="N85">
        <v>250</v>
      </c>
      <c r="O85">
        <v>3.5</v>
      </c>
      <c r="P85">
        <v>48</v>
      </c>
      <c r="Q85">
        <v>71.3</v>
      </c>
      <c r="R85">
        <v>100</v>
      </c>
      <c r="S85">
        <v>81</v>
      </c>
      <c r="T85">
        <v>12.9</v>
      </c>
      <c r="U85">
        <v>4</v>
      </c>
    </row>
    <row r="86" spans="4:21" x14ac:dyDescent="0.3">
      <c r="D86">
        <v>4032</v>
      </c>
      <c r="E86" t="s">
        <v>23</v>
      </c>
      <c r="F86" t="s">
        <v>31</v>
      </c>
      <c r="G86">
        <v>20392</v>
      </c>
      <c r="H86" t="s">
        <v>20</v>
      </c>
      <c r="I86" t="s">
        <v>24</v>
      </c>
      <c r="J86" t="s">
        <v>24</v>
      </c>
      <c r="K86" t="s">
        <v>24</v>
      </c>
      <c r="L86" t="s">
        <v>24</v>
      </c>
      <c r="M86">
        <v>0.4</v>
      </c>
      <c r="N86">
        <v>263</v>
      </c>
      <c r="O86">
        <v>3.76</v>
      </c>
      <c r="P86">
        <v>29</v>
      </c>
      <c r="Q86">
        <v>137.94999999999999</v>
      </c>
      <c r="R86">
        <v>74</v>
      </c>
      <c r="S86">
        <v>181</v>
      </c>
      <c r="T86">
        <v>11.2</v>
      </c>
      <c r="U86">
        <v>3</v>
      </c>
    </row>
    <row r="87" spans="4:21" x14ac:dyDescent="0.3">
      <c r="D87">
        <v>3358</v>
      </c>
      <c r="E87" t="s">
        <v>18</v>
      </c>
      <c r="F87" t="s">
        <v>31</v>
      </c>
      <c r="G87">
        <v>17246</v>
      </c>
      <c r="H87" t="s">
        <v>20</v>
      </c>
      <c r="I87" t="s">
        <v>24</v>
      </c>
      <c r="J87" t="s">
        <v>21</v>
      </c>
      <c r="K87" t="s">
        <v>24</v>
      </c>
      <c r="L87" t="s">
        <v>24</v>
      </c>
      <c r="M87">
        <v>2.1</v>
      </c>
      <c r="N87">
        <v>262</v>
      </c>
      <c r="O87">
        <v>3.48</v>
      </c>
      <c r="P87">
        <v>58</v>
      </c>
      <c r="Q87">
        <v>89.9</v>
      </c>
      <c r="R87">
        <v>84</v>
      </c>
      <c r="S87">
        <v>225</v>
      </c>
      <c r="T87">
        <v>11.5</v>
      </c>
      <c r="U87">
        <v>4</v>
      </c>
    </row>
    <row r="88" spans="4:21" x14ac:dyDescent="0.3">
      <c r="D88">
        <v>1657</v>
      </c>
      <c r="E88" t="s">
        <v>18</v>
      </c>
      <c r="F88" t="s">
        <v>19</v>
      </c>
      <c r="G88">
        <v>19270</v>
      </c>
      <c r="H88" t="s">
        <v>20</v>
      </c>
      <c r="I88" t="s">
        <v>24</v>
      </c>
      <c r="J88" t="s">
        <v>21</v>
      </c>
      <c r="K88" t="s">
        <v>21</v>
      </c>
      <c r="L88" t="s">
        <v>24</v>
      </c>
      <c r="M88">
        <v>5</v>
      </c>
      <c r="N88">
        <v>1600</v>
      </c>
      <c r="O88">
        <v>3.21</v>
      </c>
      <c r="P88">
        <v>75</v>
      </c>
      <c r="Q88">
        <v>82.15</v>
      </c>
      <c r="R88">
        <v>174</v>
      </c>
      <c r="S88">
        <v>181</v>
      </c>
      <c r="T88">
        <v>10.9</v>
      </c>
      <c r="U88">
        <v>3</v>
      </c>
    </row>
    <row r="89" spans="4:21" x14ac:dyDescent="0.3">
      <c r="D89">
        <v>198</v>
      </c>
      <c r="E89" t="s">
        <v>18</v>
      </c>
      <c r="F89" t="s">
        <v>19</v>
      </c>
      <c r="G89">
        <v>13616</v>
      </c>
      <c r="H89" t="s">
        <v>20</v>
      </c>
      <c r="I89" t="s">
        <v>24</v>
      </c>
      <c r="J89" t="s">
        <v>24</v>
      </c>
      <c r="K89" t="s">
        <v>24</v>
      </c>
      <c r="L89" t="s">
        <v>24</v>
      </c>
      <c r="M89">
        <v>1.1000000000000001</v>
      </c>
      <c r="N89">
        <v>345</v>
      </c>
      <c r="O89">
        <v>4.4000000000000004</v>
      </c>
      <c r="P89">
        <v>75</v>
      </c>
      <c r="Q89">
        <v>218.55</v>
      </c>
      <c r="R89">
        <v>72</v>
      </c>
      <c r="S89">
        <v>447</v>
      </c>
      <c r="T89">
        <v>10.7</v>
      </c>
      <c r="U89">
        <v>3</v>
      </c>
    </row>
    <row r="90" spans="4:21" x14ac:dyDescent="0.3">
      <c r="D90">
        <v>2452</v>
      </c>
      <c r="E90" t="s">
        <v>23</v>
      </c>
      <c r="F90" t="s">
        <v>31</v>
      </c>
      <c r="G90">
        <v>15119</v>
      </c>
      <c r="H90" t="s">
        <v>20</v>
      </c>
      <c r="I90" t="s">
        <v>24</v>
      </c>
      <c r="J90" t="s">
        <v>24</v>
      </c>
      <c r="K90" t="s">
        <v>24</v>
      </c>
      <c r="L90" t="s">
        <v>27</v>
      </c>
      <c r="M90">
        <v>0.6</v>
      </c>
      <c r="N90">
        <v>296</v>
      </c>
      <c r="O90">
        <v>4.0599999999999996</v>
      </c>
      <c r="P90">
        <v>37</v>
      </c>
      <c r="Q90">
        <v>80.599999999999994</v>
      </c>
      <c r="R90">
        <v>83</v>
      </c>
      <c r="S90">
        <v>442</v>
      </c>
      <c r="T90">
        <v>12</v>
      </c>
      <c r="U90">
        <v>3</v>
      </c>
    </row>
    <row r="91" spans="4:21" x14ac:dyDescent="0.3">
      <c r="D91">
        <v>1741</v>
      </c>
      <c r="E91" t="s">
        <v>18</v>
      </c>
      <c r="F91" t="s">
        <v>19</v>
      </c>
      <c r="G91">
        <v>19155</v>
      </c>
      <c r="H91" t="s">
        <v>20</v>
      </c>
      <c r="I91" t="s">
        <v>24</v>
      </c>
      <c r="J91" t="s">
        <v>21</v>
      </c>
      <c r="K91" t="s">
        <v>24</v>
      </c>
      <c r="L91" t="s">
        <v>24</v>
      </c>
      <c r="M91">
        <v>2</v>
      </c>
      <c r="N91">
        <v>408</v>
      </c>
      <c r="O91">
        <v>3.65</v>
      </c>
      <c r="P91">
        <v>50</v>
      </c>
      <c r="Q91">
        <v>110.05</v>
      </c>
      <c r="R91">
        <v>98</v>
      </c>
      <c r="S91">
        <v>200</v>
      </c>
      <c r="T91">
        <v>11.4</v>
      </c>
      <c r="U91">
        <v>2</v>
      </c>
    </row>
    <row r="92" spans="4:21" x14ac:dyDescent="0.3">
      <c r="D92">
        <v>2689</v>
      </c>
      <c r="E92" t="s">
        <v>18</v>
      </c>
      <c r="F92" t="s">
        <v>19</v>
      </c>
      <c r="G92">
        <v>12227</v>
      </c>
      <c r="H92" t="s">
        <v>26</v>
      </c>
      <c r="I92" t="s">
        <v>24</v>
      </c>
      <c r="J92" t="s">
        <v>24</v>
      </c>
      <c r="K92" t="s">
        <v>24</v>
      </c>
      <c r="L92" t="s">
        <v>24</v>
      </c>
      <c r="M92">
        <v>1.6</v>
      </c>
      <c r="N92">
        <v>660</v>
      </c>
      <c r="O92">
        <v>4.22</v>
      </c>
      <c r="P92">
        <v>94</v>
      </c>
      <c r="Q92">
        <v>151.9</v>
      </c>
      <c r="R92">
        <v>155</v>
      </c>
      <c r="S92">
        <v>337</v>
      </c>
      <c r="T92">
        <v>11</v>
      </c>
      <c r="U92">
        <v>2</v>
      </c>
    </row>
    <row r="93" spans="4:21" x14ac:dyDescent="0.3">
      <c r="D93">
        <v>460</v>
      </c>
      <c r="E93" t="s">
        <v>18</v>
      </c>
      <c r="F93" t="s">
        <v>31</v>
      </c>
      <c r="G93">
        <v>16658</v>
      </c>
      <c r="H93" t="s">
        <v>20</v>
      </c>
      <c r="I93" t="s">
        <v>24</v>
      </c>
      <c r="J93" t="s">
        <v>21</v>
      </c>
      <c r="K93" t="s">
        <v>21</v>
      </c>
      <c r="L93" t="s">
        <v>27</v>
      </c>
      <c r="M93">
        <v>5</v>
      </c>
      <c r="N93">
        <v>325</v>
      </c>
      <c r="O93">
        <v>3.47</v>
      </c>
      <c r="P93">
        <v>110</v>
      </c>
      <c r="Q93">
        <v>246.45</v>
      </c>
      <c r="R93">
        <v>56</v>
      </c>
      <c r="S93">
        <v>430</v>
      </c>
      <c r="T93">
        <v>11.9</v>
      </c>
      <c r="U93">
        <v>4</v>
      </c>
    </row>
    <row r="94" spans="4:21" x14ac:dyDescent="0.3">
      <c r="D94">
        <v>388</v>
      </c>
      <c r="E94" t="s">
        <v>18</v>
      </c>
      <c r="F94" t="s">
        <v>19</v>
      </c>
      <c r="G94">
        <v>28018</v>
      </c>
      <c r="H94" t="s">
        <v>20</v>
      </c>
      <c r="I94" t="s">
        <v>21</v>
      </c>
      <c r="J94" t="s">
        <v>24</v>
      </c>
      <c r="K94" t="s">
        <v>24</v>
      </c>
      <c r="L94" t="s">
        <v>21</v>
      </c>
      <c r="M94">
        <v>1.4</v>
      </c>
      <c r="N94">
        <v>206</v>
      </c>
      <c r="O94">
        <v>3.13</v>
      </c>
      <c r="P94">
        <v>36</v>
      </c>
      <c r="Q94">
        <v>86.8</v>
      </c>
      <c r="R94">
        <v>70</v>
      </c>
      <c r="S94">
        <v>145</v>
      </c>
      <c r="T94">
        <v>12.2</v>
      </c>
      <c r="U94">
        <v>4</v>
      </c>
    </row>
    <row r="95" spans="4:21" x14ac:dyDescent="0.3">
      <c r="D95">
        <v>3913</v>
      </c>
      <c r="E95" t="s">
        <v>23</v>
      </c>
      <c r="F95" t="s">
        <v>19</v>
      </c>
      <c r="G95">
        <v>13344</v>
      </c>
      <c r="H95" t="s">
        <v>20</v>
      </c>
      <c r="I95" t="s">
        <v>24</v>
      </c>
      <c r="J95" t="s">
        <v>24</v>
      </c>
      <c r="K95" t="s">
        <v>24</v>
      </c>
      <c r="L95" t="s">
        <v>24</v>
      </c>
      <c r="M95">
        <v>1.3</v>
      </c>
      <c r="N95">
        <v>353</v>
      </c>
      <c r="O95">
        <v>3.67</v>
      </c>
      <c r="P95">
        <v>73</v>
      </c>
      <c r="Q95">
        <v>232.5</v>
      </c>
      <c r="R95">
        <v>68</v>
      </c>
      <c r="S95">
        <v>380</v>
      </c>
      <c r="T95">
        <v>11.1</v>
      </c>
      <c r="U95">
        <v>2</v>
      </c>
    </row>
    <row r="96" spans="4:21" x14ac:dyDescent="0.3">
      <c r="D96">
        <v>750</v>
      </c>
      <c r="E96" t="s">
        <v>18</v>
      </c>
      <c r="F96" t="s">
        <v>19</v>
      </c>
      <c r="G96">
        <v>19693</v>
      </c>
      <c r="H96" t="s">
        <v>20</v>
      </c>
      <c r="I96" t="s">
        <v>24</v>
      </c>
      <c r="J96" t="s">
        <v>21</v>
      </c>
      <c r="K96" t="s">
        <v>21</v>
      </c>
      <c r="L96" t="s">
        <v>24</v>
      </c>
      <c r="M96">
        <v>3.2</v>
      </c>
      <c r="N96">
        <v>201</v>
      </c>
      <c r="O96">
        <v>3.11</v>
      </c>
      <c r="P96">
        <v>178</v>
      </c>
      <c r="Q96">
        <v>159.65</v>
      </c>
      <c r="R96">
        <v>69</v>
      </c>
      <c r="S96">
        <v>188</v>
      </c>
      <c r="T96">
        <v>11.8</v>
      </c>
      <c r="U96">
        <v>4</v>
      </c>
    </row>
    <row r="97" spans="4:21" x14ac:dyDescent="0.3">
      <c r="D97">
        <v>130</v>
      </c>
      <c r="E97" t="s">
        <v>18</v>
      </c>
      <c r="F97" t="s">
        <v>31</v>
      </c>
      <c r="G97">
        <v>16944</v>
      </c>
      <c r="H97" t="s">
        <v>20</v>
      </c>
      <c r="I97" t="s">
        <v>21</v>
      </c>
      <c r="J97" t="s">
        <v>21</v>
      </c>
      <c r="K97" t="s">
        <v>21</v>
      </c>
      <c r="L97" t="s">
        <v>21</v>
      </c>
      <c r="M97">
        <v>17.399999999999999</v>
      </c>
      <c r="N97" s="10">
        <v>371</v>
      </c>
      <c r="O97">
        <v>2.64</v>
      </c>
      <c r="P97">
        <v>182</v>
      </c>
      <c r="Q97">
        <v>119.35</v>
      </c>
      <c r="R97" s="10">
        <v>123</v>
      </c>
      <c r="S97">
        <v>401</v>
      </c>
      <c r="T97">
        <v>11.7</v>
      </c>
      <c r="U97">
        <v>2</v>
      </c>
    </row>
    <row r="98" spans="4:21" x14ac:dyDescent="0.3">
      <c r="D98">
        <v>3850</v>
      </c>
      <c r="E98" t="s">
        <v>23</v>
      </c>
      <c r="F98" t="s">
        <v>19</v>
      </c>
      <c r="G98">
        <v>17841</v>
      </c>
      <c r="H98" t="s">
        <v>20</v>
      </c>
      <c r="I98" t="s">
        <v>24</v>
      </c>
      <c r="J98" t="s">
        <v>24</v>
      </c>
      <c r="K98" t="s">
        <v>24</v>
      </c>
      <c r="L98" t="s">
        <v>24</v>
      </c>
      <c r="M98">
        <v>1</v>
      </c>
      <c r="N98" s="10">
        <v>371</v>
      </c>
      <c r="O98">
        <v>3.7</v>
      </c>
      <c r="P98">
        <v>33</v>
      </c>
      <c r="Q98">
        <v>99.2</v>
      </c>
      <c r="R98" s="10">
        <v>123</v>
      </c>
      <c r="S98">
        <v>338</v>
      </c>
      <c r="T98">
        <v>10.4</v>
      </c>
      <c r="U98">
        <v>3</v>
      </c>
    </row>
    <row r="99" spans="4:21" x14ac:dyDescent="0.3">
      <c r="D99">
        <v>611</v>
      </c>
      <c r="E99" t="s">
        <v>18</v>
      </c>
      <c r="F99" t="s">
        <v>31</v>
      </c>
      <c r="G99">
        <v>26259</v>
      </c>
      <c r="H99" t="s">
        <v>26</v>
      </c>
      <c r="I99" t="s">
        <v>24</v>
      </c>
      <c r="J99" t="s">
        <v>21</v>
      </c>
      <c r="K99" t="s">
        <v>24</v>
      </c>
      <c r="L99" t="s">
        <v>27</v>
      </c>
      <c r="M99">
        <v>2</v>
      </c>
      <c r="N99">
        <v>420</v>
      </c>
      <c r="O99">
        <v>3.26</v>
      </c>
      <c r="P99">
        <v>62</v>
      </c>
      <c r="Q99">
        <v>77.5</v>
      </c>
      <c r="R99">
        <v>91</v>
      </c>
      <c r="S99">
        <v>344</v>
      </c>
      <c r="T99">
        <v>11.4</v>
      </c>
      <c r="U99">
        <v>3</v>
      </c>
    </row>
    <row r="100" spans="4:21" x14ac:dyDescent="0.3">
      <c r="D100">
        <v>3823</v>
      </c>
      <c r="E100" t="s">
        <v>23</v>
      </c>
      <c r="F100" t="s">
        <v>19</v>
      </c>
      <c r="G100">
        <v>10550</v>
      </c>
      <c r="H100" t="s">
        <v>20</v>
      </c>
      <c r="I100" t="s">
        <v>24</v>
      </c>
      <c r="J100" t="s">
        <v>24</v>
      </c>
      <c r="K100" t="s">
        <v>24</v>
      </c>
      <c r="L100" t="s">
        <v>24</v>
      </c>
      <c r="M100">
        <v>1</v>
      </c>
      <c r="N100">
        <v>239</v>
      </c>
      <c r="O100">
        <v>3.77</v>
      </c>
      <c r="P100">
        <v>77</v>
      </c>
      <c r="Q100">
        <v>97.65</v>
      </c>
      <c r="R100">
        <v>101</v>
      </c>
      <c r="S100">
        <v>312</v>
      </c>
      <c r="T100">
        <v>10.199999999999999</v>
      </c>
      <c r="U100">
        <v>1</v>
      </c>
    </row>
    <row r="101" spans="4:21" x14ac:dyDescent="0.3">
      <c r="D101">
        <v>3820</v>
      </c>
      <c r="E101" t="s">
        <v>23</v>
      </c>
      <c r="F101" t="s">
        <v>31</v>
      </c>
      <c r="G101">
        <v>17703</v>
      </c>
      <c r="H101" t="s">
        <v>26</v>
      </c>
      <c r="I101" t="s">
        <v>24</v>
      </c>
      <c r="J101" t="s">
        <v>24</v>
      </c>
      <c r="K101" t="s">
        <v>24</v>
      </c>
      <c r="L101" t="s">
        <v>24</v>
      </c>
      <c r="M101">
        <v>1.8</v>
      </c>
      <c r="N101">
        <v>460</v>
      </c>
      <c r="O101">
        <v>3.35</v>
      </c>
      <c r="P101">
        <v>148</v>
      </c>
      <c r="Q101">
        <v>108.5</v>
      </c>
      <c r="R101">
        <v>118</v>
      </c>
      <c r="S101">
        <v>172</v>
      </c>
      <c r="T101">
        <v>10.199999999999999</v>
      </c>
      <c r="U101">
        <v>2</v>
      </c>
    </row>
    <row r="102" spans="4:21" x14ac:dyDescent="0.3">
      <c r="D102">
        <v>552</v>
      </c>
      <c r="E102" t="s">
        <v>18</v>
      </c>
      <c r="F102" t="s">
        <v>31</v>
      </c>
      <c r="G102">
        <v>18799</v>
      </c>
      <c r="H102" t="s">
        <v>26</v>
      </c>
      <c r="I102" t="s">
        <v>24</v>
      </c>
      <c r="J102" t="s">
        <v>21</v>
      </c>
      <c r="K102" t="s">
        <v>24</v>
      </c>
      <c r="L102" t="s">
        <v>24</v>
      </c>
      <c r="M102">
        <v>2.2999999999999998</v>
      </c>
      <c r="N102">
        <v>178</v>
      </c>
      <c r="O102">
        <v>3</v>
      </c>
      <c r="P102">
        <v>145</v>
      </c>
      <c r="Q102">
        <v>178.25</v>
      </c>
      <c r="R102">
        <v>122</v>
      </c>
      <c r="S102">
        <v>119</v>
      </c>
      <c r="T102">
        <v>12</v>
      </c>
      <c r="U102">
        <v>4</v>
      </c>
    </row>
    <row r="103" spans="4:21" x14ac:dyDescent="0.3">
      <c r="D103">
        <v>3581</v>
      </c>
      <c r="E103" t="s">
        <v>23</v>
      </c>
      <c r="F103" t="s">
        <v>31</v>
      </c>
      <c r="G103">
        <v>16418</v>
      </c>
      <c r="H103" t="s">
        <v>20</v>
      </c>
      <c r="I103" t="s">
        <v>24</v>
      </c>
      <c r="J103" t="s">
        <v>24</v>
      </c>
      <c r="K103" t="s">
        <v>24</v>
      </c>
      <c r="L103" t="s">
        <v>24</v>
      </c>
      <c r="M103">
        <v>0.9</v>
      </c>
      <c r="N103">
        <v>400</v>
      </c>
      <c r="O103">
        <v>3.6</v>
      </c>
      <c r="P103">
        <v>31</v>
      </c>
      <c r="Q103">
        <v>164.3</v>
      </c>
      <c r="R103">
        <v>166</v>
      </c>
      <c r="S103">
        <v>327</v>
      </c>
      <c r="T103">
        <v>10.4</v>
      </c>
      <c r="U103">
        <v>3</v>
      </c>
    </row>
    <row r="104" spans="4:21" x14ac:dyDescent="0.3">
      <c r="D104">
        <v>3099</v>
      </c>
      <c r="E104" t="s">
        <v>23</v>
      </c>
      <c r="F104" t="s">
        <v>19</v>
      </c>
      <c r="G104">
        <v>20662</v>
      </c>
      <c r="H104" t="s">
        <v>20</v>
      </c>
      <c r="I104" t="s">
        <v>24</v>
      </c>
      <c r="J104" t="s">
        <v>24</v>
      </c>
      <c r="K104" t="s">
        <v>24</v>
      </c>
      <c r="L104" t="s">
        <v>24</v>
      </c>
      <c r="M104">
        <v>0.9</v>
      </c>
      <c r="N104">
        <v>248</v>
      </c>
      <c r="O104">
        <v>3.97</v>
      </c>
      <c r="P104">
        <v>172</v>
      </c>
      <c r="Q104">
        <v>62</v>
      </c>
      <c r="R104">
        <v>84</v>
      </c>
      <c r="S104">
        <v>128</v>
      </c>
      <c r="T104">
        <v>10.1</v>
      </c>
      <c r="U104">
        <v>1</v>
      </c>
    </row>
    <row r="105" spans="4:21" x14ac:dyDescent="0.3">
      <c r="D105">
        <v>110</v>
      </c>
      <c r="E105" t="s">
        <v>18</v>
      </c>
      <c r="F105" t="s">
        <v>31</v>
      </c>
      <c r="G105">
        <v>17884</v>
      </c>
      <c r="H105" t="s">
        <v>20</v>
      </c>
      <c r="I105" t="s">
        <v>21</v>
      </c>
      <c r="J105" t="s">
        <v>21</v>
      </c>
      <c r="K105" t="s">
        <v>21</v>
      </c>
      <c r="L105" t="s">
        <v>21</v>
      </c>
      <c r="M105">
        <v>2.5</v>
      </c>
      <c r="N105">
        <v>188</v>
      </c>
      <c r="O105">
        <v>3.67</v>
      </c>
      <c r="P105">
        <v>57</v>
      </c>
      <c r="Q105">
        <v>119.35</v>
      </c>
      <c r="R105">
        <v>102</v>
      </c>
      <c r="S105">
        <v>110</v>
      </c>
      <c r="T105">
        <v>11.1</v>
      </c>
      <c r="U105">
        <v>4</v>
      </c>
    </row>
    <row r="106" spans="4:21" x14ac:dyDescent="0.3">
      <c r="D106">
        <v>3086</v>
      </c>
      <c r="E106" t="s">
        <v>18</v>
      </c>
      <c r="F106" t="s">
        <v>19</v>
      </c>
      <c r="G106">
        <v>15712</v>
      </c>
      <c r="H106" t="s">
        <v>20</v>
      </c>
      <c r="I106" t="s">
        <v>24</v>
      </c>
      <c r="J106" t="s">
        <v>24</v>
      </c>
      <c r="K106" t="s">
        <v>24</v>
      </c>
      <c r="L106" t="s">
        <v>24</v>
      </c>
      <c r="M106">
        <v>1.1000000000000001</v>
      </c>
      <c r="N106">
        <v>303</v>
      </c>
      <c r="O106">
        <v>3.64</v>
      </c>
      <c r="P106">
        <v>20</v>
      </c>
      <c r="Q106">
        <v>128.65</v>
      </c>
      <c r="R106">
        <v>53</v>
      </c>
      <c r="S106">
        <v>349</v>
      </c>
      <c r="T106">
        <v>11.1</v>
      </c>
      <c r="U106">
        <v>2</v>
      </c>
    </row>
    <row r="107" spans="4:21" x14ac:dyDescent="0.3">
      <c r="D107">
        <v>3092</v>
      </c>
      <c r="E107" t="s">
        <v>30</v>
      </c>
      <c r="F107" t="s">
        <v>31</v>
      </c>
      <c r="G107">
        <v>12433</v>
      </c>
      <c r="H107" t="s">
        <v>20</v>
      </c>
      <c r="I107" t="s">
        <v>24</v>
      </c>
      <c r="J107" t="s">
        <v>21</v>
      </c>
      <c r="K107" t="s">
        <v>24</v>
      </c>
      <c r="L107" t="s">
        <v>24</v>
      </c>
      <c r="M107">
        <v>1.1000000000000001</v>
      </c>
      <c r="N107">
        <v>464</v>
      </c>
      <c r="O107">
        <v>4.2</v>
      </c>
      <c r="P107">
        <v>38</v>
      </c>
      <c r="Q107">
        <v>151.9</v>
      </c>
      <c r="R107">
        <v>102</v>
      </c>
      <c r="S107">
        <v>348</v>
      </c>
      <c r="T107">
        <v>10.3</v>
      </c>
      <c r="U107">
        <v>3</v>
      </c>
    </row>
    <row r="108" spans="4:21" x14ac:dyDescent="0.3">
      <c r="D108">
        <v>3222</v>
      </c>
      <c r="E108" t="s">
        <v>18</v>
      </c>
      <c r="F108" t="s">
        <v>19</v>
      </c>
      <c r="G108">
        <v>25023</v>
      </c>
      <c r="H108" t="s">
        <v>20</v>
      </c>
      <c r="I108" t="s">
        <v>21</v>
      </c>
      <c r="J108" t="s">
        <v>21</v>
      </c>
      <c r="K108" t="s">
        <v>24</v>
      </c>
      <c r="L108" t="s">
        <v>24</v>
      </c>
      <c r="M108">
        <v>2.1</v>
      </c>
      <c r="N108" s="10">
        <v>371</v>
      </c>
      <c r="O108">
        <v>3.9</v>
      </c>
      <c r="P108">
        <v>50</v>
      </c>
      <c r="Q108">
        <v>103.85</v>
      </c>
      <c r="R108" s="10">
        <v>123</v>
      </c>
      <c r="S108">
        <v>137</v>
      </c>
      <c r="T108">
        <v>10.6</v>
      </c>
      <c r="U108">
        <v>2</v>
      </c>
    </row>
    <row r="109" spans="4:21" x14ac:dyDescent="0.3">
      <c r="D109">
        <v>3388</v>
      </c>
      <c r="E109" t="s">
        <v>23</v>
      </c>
      <c r="F109" t="s">
        <v>31</v>
      </c>
      <c r="G109">
        <v>22836</v>
      </c>
      <c r="H109" t="s">
        <v>20</v>
      </c>
      <c r="I109" t="s">
        <v>24</v>
      </c>
      <c r="J109" t="s">
        <v>24</v>
      </c>
      <c r="K109" t="s">
        <v>24</v>
      </c>
      <c r="L109" t="s">
        <v>24</v>
      </c>
      <c r="M109">
        <v>0.6</v>
      </c>
      <c r="N109">
        <v>212</v>
      </c>
      <c r="O109">
        <v>4.03</v>
      </c>
      <c r="P109">
        <v>10</v>
      </c>
      <c r="Q109">
        <v>71.3</v>
      </c>
      <c r="R109">
        <v>77</v>
      </c>
      <c r="S109">
        <v>316</v>
      </c>
      <c r="T109">
        <v>17.100000000000001</v>
      </c>
      <c r="U109">
        <v>1</v>
      </c>
    </row>
    <row r="110" spans="4:21" x14ac:dyDescent="0.3">
      <c r="D110">
        <v>2583</v>
      </c>
      <c r="E110" t="s">
        <v>18</v>
      </c>
      <c r="F110" t="s">
        <v>19</v>
      </c>
      <c r="G110">
        <v>18393</v>
      </c>
      <c r="H110" t="s">
        <v>20</v>
      </c>
      <c r="I110" t="s">
        <v>24</v>
      </c>
      <c r="J110" t="s">
        <v>24</v>
      </c>
      <c r="K110" t="s">
        <v>24</v>
      </c>
      <c r="L110" t="s">
        <v>24</v>
      </c>
      <c r="M110">
        <v>0.4</v>
      </c>
      <c r="N110">
        <v>127</v>
      </c>
      <c r="O110">
        <v>3.5</v>
      </c>
      <c r="P110">
        <v>14</v>
      </c>
      <c r="Q110">
        <v>49.6</v>
      </c>
      <c r="R110">
        <v>84</v>
      </c>
      <c r="S110">
        <v>334</v>
      </c>
      <c r="T110">
        <v>10.3</v>
      </c>
      <c r="U110">
        <v>2</v>
      </c>
    </row>
    <row r="111" spans="4:21" x14ac:dyDescent="0.3">
      <c r="D111">
        <v>2504</v>
      </c>
      <c r="E111" t="s">
        <v>23</v>
      </c>
      <c r="F111" t="s">
        <v>31</v>
      </c>
      <c r="G111">
        <v>16094</v>
      </c>
      <c r="H111" t="s">
        <v>20</v>
      </c>
      <c r="I111" t="s">
        <v>24</v>
      </c>
      <c r="J111" t="s">
        <v>24</v>
      </c>
      <c r="K111" t="s">
        <v>24</v>
      </c>
      <c r="L111" t="s">
        <v>24</v>
      </c>
      <c r="M111">
        <v>0.5</v>
      </c>
      <c r="N111">
        <v>120</v>
      </c>
      <c r="O111">
        <v>3.61</v>
      </c>
      <c r="P111">
        <v>53</v>
      </c>
      <c r="Q111">
        <v>110.05</v>
      </c>
      <c r="R111">
        <v>52</v>
      </c>
      <c r="S111">
        <v>271</v>
      </c>
      <c r="T111">
        <v>10.6</v>
      </c>
      <c r="U111">
        <v>3</v>
      </c>
    </row>
    <row r="112" spans="4:21" x14ac:dyDescent="0.3">
      <c r="D112">
        <v>2105</v>
      </c>
      <c r="E112" t="s">
        <v>18</v>
      </c>
      <c r="F112" t="s">
        <v>19</v>
      </c>
      <c r="G112">
        <v>14212</v>
      </c>
      <c r="H112" t="s">
        <v>20</v>
      </c>
      <c r="I112" t="s">
        <v>24</v>
      </c>
      <c r="J112" t="s">
        <v>21</v>
      </c>
      <c r="K112" t="s">
        <v>21</v>
      </c>
      <c r="L112" t="s">
        <v>24</v>
      </c>
      <c r="M112">
        <v>1.9</v>
      </c>
      <c r="N112">
        <v>486</v>
      </c>
      <c r="O112">
        <v>3.54</v>
      </c>
      <c r="P112">
        <v>74</v>
      </c>
      <c r="Q112">
        <v>108.5</v>
      </c>
      <c r="R112">
        <v>109</v>
      </c>
      <c r="S112">
        <v>141</v>
      </c>
      <c r="T112">
        <v>10.9</v>
      </c>
      <c r="U112">
        <v>3</v>
      </c>
    </row>
    <row r="113" spans="4:21" x14ac:dyDescent="0.3">
      <c r="D113">
        <v>2350</v>
      </c>
      <c r="E113" t="s">
        <v>30</v>
      </c>
      <c r="F113" t="s">
        <v>19</v>
      </c>
      <c r="G113">
        <v>15031</v>
      </c>
      <c r="H113" t="s">
        <v>20</v>
      </c>
      <c r="I113" t="s">
        <v>24</v>
      </c>
      <c r="J113" t="s">
        <v>24</v>
      </c>
      <c r="K113" t="s">
        <v>24</v>
      </c>
      <c r="L113" t="s">
        <v>24</v>
      </c>
      <c r="M113">
        <v>5.5</v>
      </c>
      <c r="N113">
        <v>528</v>
      </c>
      <c r="O113">
        <v>4.18</v>
      </c>
      <c r="P113">
        <v>77</v>
      </c>
      <c r="Q113">
        <v>172.05</v>
      </c>
      <c r="R113">
        <v>78</v>
      </c>
      <c r="S113">
        <v>467</v>
      </c>
      <c r="T113">
        <v>10.7</v>
      </c>
      <c r="U113">
        <v>3</v>
      </c>
    </row>
    <row r="114" spans="4:21" x14ac:dyDescent="0.3">
      <c r="D114">
        <v>3445</v>
      </c>
      <c r="E114" t="s">
        <v>18</v>
      </c>
      <c r="F114" t="s">
        <v>31</v>
      </c>
      <c r="G114">
        <v>20256</v>
      </c>
      <c r="H114" t="s">
        <v>20</v>
      </c>
      <c r="I114" t="s">
        <v>24</v>
      </c>
      <c r="J114" t="s">
        <v>21</v>
      </c>
      <c r="K114" t="s">
        <v>21</v>
      </c>
      <c r="L114" t="s">
        <v>24</v>
      </c>
      <c r="M114">
        <v>2</v>
      </c>
      <c r="N114">
        <v>267</v>
      </c>
      <c r="O114">
        <v>3.67</v>
      </c>
      <c r="P114">
        <v>89</v>
      </c>
      <c r="Q114">
        <v>196.85</v>
      </c>
      <c r="R114">
        <v>90</v>
      </c>
      <c r="S114">
        <v>136</v>
      </c>
      <c r="T114">
        <v>11.8</v>
      </c>
      <c r="U114">
        <v>4</v>
      </c>
    </row>
    <row r="115" spans="4:21" x14ac:dyDescent="0.3">
      <c r="D115">
        <v>980</v>
      </c>
      <c r="E115" t="s">
        <v>18</v>
      </c>
      <c r="F115" t="s">
        <v>19</v>
      </c>
      <c r="G115">
        <v>18713</v>
      </c>
      <c r="H115" t="s">
        <v>20</v>
      </c>
      <c r="I115" t="s">
        <v>24</v>
      </c>
      <c r="J115" t="s">
        <v>21</v>
      </c>
      <c r="K115" t="s">
        <v>21</v>
      </c>
      <c r="L115" t="s">
        <v>24</v>
      </c>
      <c r="M115">
        <v>6.7</v>
      </c>
      <c r="N115">
        <v>374</v>
      </c>
      <c r="O115">
        <v>3.74</v>
      </c>
      <c r="P115">
        <v>103</v>
      </c>
      <c r="Q115">
        <v>128.65</v>
      </c>
      <c r="R115">
        <v>100</v>
      </c>
      <c r="S115">
        <v>266</v>
      </c>
      <c r="T115">
        <v>11.1</v>
      </c>
      <c r="U115">
        <v>4</v>
      </c>
    </row>
    <row r="116" spans="4:21" x14ac:dyDescent="0.3">
      <c r="D116">
        <v>3395</v>
      </c>
      <c r="E116" t="s">
        <v>18</v>
      </c>
      <c r="F116" t="s">
        <v>31</v>
      </c>
      <c r="G116">
        <v>19295</v>
      </c>
      <c r="H116" t="s">
        <v>26</v>
      </c>
      <c r="I116" t="s">
        <v>24</v>
      </c>
      <c r="J116" t="s">
        <v>24</v>
      </c>
      <c r="K116" t="s">
        <v>24</v>
      </c>
      <c r="L116" t="s">
        <v>24</v>
      </c>
      <c r="M116">
        <v>3.2</v>
      </c>
      <c r="N116">
        <v>259</v>
      </c>
      <c r="O116">
        <v>4.3</v>
      </c>
      <c r="P116">
        <v>208</v>
      </c>
      <c r="Q116">
        <v>110.05</v>
      </c>
      <c r="R116">
        <v>78</v>
      </c>
      <c r="S116">
        <v>268</v>
      </c>
      <c r="T116">
        <v>11.7</v>
      </c>
      <c r="U116">
        <v>3</v>
      </c>
    </row>
    <row r="117" spans="4:21" x14ac:dyDescent="0.3">
      <c r="D117">
        <v>3422</v>
      </c>
      <c r="E117" t="s">
        <v>23</v>
      </c>
      <c r="F117" t="s">
        <v>31</v>
      </c>
      <c r="G117">
        <v>15574</v>
      </c>
      <c r="H117" t="s">
        <v>20</v>
      </c>
      <c r="I117" t="s">
        <v>24</v>
      </c>
      <c r="J117" t="s">
        <v>24</v>
      </c>
      <c r="K117" t="s">
        <v>21</v>
      </c>
      <c r="L117" t="s">
        <v>24</v>
      </c>
      <c r="M117">
        <v>0.7</v>
      </c>
      <c r="N117">
        <v>303</v>
      </c>
      <c r="O117">
        <v>4.1900000000000004</v>
      </c>
      <c r="P117">
        <v>81</v>
      </c>
      <c r="Q117">
        <v>111.6</v>
      </c>
      <c r="R117">
        <v>156</v>
      </c>
      <c r="S117">
        <v>307</v>
      </c>
      <c r="T117">
        <v>10.3</v>
      </c>
      <c r="U117">
        <v>3</v>
      </c>
    </row>
    <row r="118" spans="4:21" x14ac:dyDescent="0.3">
      <c r="D118">
        <v>3336</v>
      </c>
      <c r="E118" t="s">
        <v>23</v>
      </c>
      <c r="F118" t="s">
        <v>19</v>
      </c>
      <c r="G118">
        <v>22306</v>
      </c>
      <c r="H118" t="s">
        <v>20</v>
      </c>
      <c r="I118" t="s">
        <v>24</v>
      </c>
      <c r="J118" t="s">
        <v>24</v>
      </c>
      <c r="K118" t="s">
        <v>21</v>
      </c>
      <c r="L118" t="s">
        <v>27</v>
      </c>
      <c r="M118">
        <v>3</v>
      </c>
      <c r="N118">
        <v>458</v>
      </c>
      <c r="O118">
        <v>3.63</v>
      </c>
      <c r="P118">
        <v>74</v>
      </c>
      <c r="Q118">
        <v>106.95</v>
      </c>
      <c r="R118" s="19">
        <v>319</v>
      </c>
      <c r="S118">
        <v>438</v>
      </c>
      <c r="T118">
        <v>9.9</v>
      </c>
      <c r="U118">
        <v>3</v>
      </c>
    </row>
    <row r="119" spans="4:21" x14ac:dyDescent="0.3">
      <c r="D119">
        <v>1083</v>
      </c>
      <c r="E119" t="s">
        <v>18</v>
      </c>
      <c r="F119" t="s">
        <v>19</v>
      </c>
      <c r="G119">
        <v>18137</v>
      </c>
      <c r="H119" t="s">
        <v>20</v>
      </c>
      <c r="I119" t="s">
        <v>24</v>
      </c>
      <c r="J119" t="s">
        <v>21</v>
      </c>
      <c r="K119" t="s">
        <v>21</v>
      </c>
      <c r="L119" t="s">
        <v>24</v>
      </c>
      <c r="M119">
        <v>6.5</v>
      </c>
      <c r="N119">
        <v>950</v>
      </c>
      <c r="O119">
        <v>3.11</v>
      </c>
      <c r="P119">
        <v>111</v>
      </c>
      <c r="Q119">
        <v>170.5</v>
      </c>
      <c r="R119">
        <v>149</v>
      </c>
      <c r="S119">
        <v>354</v>
      </c>
      <c r="T119">
        <v>11</v>
      </c>
      <c r="U119">
        <v>4</v>
      </c>
    </row>
    <row r="120" spans="4:21" x14ac:dyDescent="0.3">
      <c r="D120">
        <v>2288</v>
      </c>
      <c r="E120" t="s">
        <v>18</v>
      </c>
      <c r="F120" t="s">
        <v>19</v>
      </c>
      <c r="G120">
        <v>17844</v>
      </c>
      <c r="H120" t="s">
        <v>20</v>
      </c>
      <c r="I120" t="s">
        <v>24</v>
      </c>
      <c r="J120" t="s">
        <v>21</v>
      </c>
      <c r="K120" t="s">
        <v>24</v>
      </c>
      <c r="L120" t="s">
        <v>24</v>
      </c>
      <c r="M120">
        <v>3.5</v>
      </c>
      <c r="N120">
        <v>390</v>
      </c>
      <c r="O120">
        <v>3.3</v>
      </c>
      <c r="P120">
        <v>67</v>
      </c>
      <c r="Q120">
        <v>137.94999999999999</v>
      </c>
      <c r="R120">
        <v>93</v>
      </c>
      <c r="S120">
        <v>207</v>
      </c>
      <c r="T120">
        <v>10.199999999999999</v>
      </c>
      <c r="U120">
        <v>3</v>
      </c>
    </row>
    <row r="121" spans="4:21" x14ac:dyDescent="0.3">
      <c r="D121">
        <v>515</v>
      </c>
      <c r="E121" t="s">
        <v>18</v>
      </c>
      <c r="F121" t="s">
        <v>19</v>
      </c>
      <c r="G121">
        <v>19817</v>
      </c>
      <c r="H121" t="s">
        <v>20</v>
      </c>
      <c r="I121" t="s">
        <v>24</v>
      </c>
      <c r="J121" t="s">
        <v>24</v>
      </c>
      <c r="K121" t="s">
        <v>21</v>
      </c>
      <c r="L121" t="s">
        <v>24</v>
      </c>
      <c r="M121">
        <v>0.6</v>
      </c>
      <c r="N121">
        <v>636</v>
      </c>
      <c r="O121">
        <v>3.83</v>
      </c>
      <c r="P121">
        <v>129</v>
      </c>
      <c r="Q121">
        <v>97.65</v>
      </c>
      <c r="R121">
        <v>114</v>
      </c>
      <c r="S121">
        <v>306</v>
      </c>
      <c r="T121">
        <v>9.5</v>
      </c>
      <c r="U121">
        <v>3</v>
      </c>
    </row>
    <row r="122" spans="4:21" x14ac:dyDescent="0.3">
      <c r="D122">
        <v>2033</v>
      </c>
      <c r="E122" t="s">
        <v>30</v>
      </c>
      <c r="F122" t="s">
        <v>19</v>
      </c>
      <c r="G122">
        <v>12839</v>
      </c>
      <c r="H122" t="s">
        <v>26</v>
      </c>
      <c r="I122" t="s">
        <v>24</v>
      </c>
      <c r="J122" t="s">
        <v>24</v>
      </c>
      <c r="K122" t="s">
        <v>24</v>
      </c>
      <c r="L122" t="s">
        <v>24</v>
      </c>
      <c r="M122">
        <v>3.5</v>
      </c>
      <c r="N122">
        <v>325</v>
      </c>
      <c r="O122">
        <v>3.98</v>
      </c>
      <c r="P122" s="19">
        <v>290</v>
      </c>
      <c r="Q122">
        <v>130.19999999999999</v>
      </c>
      <c r="R122">
        <v>210</v>
      </c>
      <c r="S122">
        <v>344</v>
      </c>
      <c r="T122">
        <v>10.6</v>
      </c>
      <c r="U122">
        <v>3</v>
      </c>
    </row>
    <row r="123" spans="4:21" x14ac:dyDescent="0.3">
      <c r="D123">
        <v>191</v>
      </c>
      <c r="E123" t="s">
        <v>18</v>
      </c>
      <c r="F123" t="s">
        <v>31</v>
      </c>
      <c r="G123">
        <v>24803</v>
      </c>
      <c r="H123" t="s">
        <v>26</v>
      </c>
      <c r="I123" t="s">
        <v>21</v>
      </c>
      <c r="J123" t="s">
        <v>21</v>
      </c>
      <c r="K123" t="s">
        <v>24</v>
      </c>
      <c r="L123" t="s">
        <v>21</v>
      </c>
      <c r="M123">
        <v>1.3</v>
      </c>
      <c r="N123">
        <v>151</v>
      </c>
      <c r="O123">
        <v>3.08</v>
      </c>
      <c r="P123">
        <v>73</v>
      </c>
      <c r="Q123">
        <v>46.5</v>
      </c>
      <c r="R123">
        <v>49</v>
      </c>
      <c r="S123">
        <v>213</v>
      </c>
      <c r="T123">
        <v>13.2</v>
      </c>
      <c r="U123">
        <v>4</v>
      </c>
    </row>
    <row r="124" spans="4:21" x14ac:dyDescent="0.3">
      <c r="D124">
        <v>3297</v>
      </c>
      <c r="E124" t="s">
        <v>23</v>
      </c>
      <c r="F124" t="s">
        <v>19</v>
      </c>
      <c r="G124">
        <v>20248</v>
      </c>
      <c r="H124" t="s">
        <v>20</v>
      </c>
      <c r="I124" t="s">
        <v>24</v>
      </c>
      <c r="J124" t="s">
        <v>24</v>
      </c>
      <c r="K124" t="s">
        <v>24</v>
      </c>
      <c r="L124" t="s">
        <v>24</v>
      </c>
      <c r="M124">
        <v>0.6</v>
      </c>
      <c r="N124">
        <v>298</v>
      </c>
      <c r="O124">
        <v>4.13</v>
      </c>
      <c r="P124">
        <v>29</v>
      </c>
      <c r="Q124">
        <v>65.099999999999994</v>
      </c>
      <c r="R124">
        <v>85</v>
      </c>
      <c r="S124">
        <v>256</v>
      </c>
      <c r="T124">
        <v>10.7</v>
      </c>
      <c r="U124">
        <v>3</v>
      </c>
    </row>
    <row r="125" spans="4:21" x14ac:dyDescent="0.3">
      <c r="D125">
        <v>971</v>
      </c>
      <c r="E125" t="s">
        <v>18</v>
      </c>
      <c r="F125" t="s">
        <v>19</v>
      </c>
      <c r="G125">
        <v>16736</v>
      </c>
      <c r="H125" t="s">
        <v>20</v>
      </c>
      <c r="I125" t="s">
        <v>24</v>
      </c>
      <c r="J125" t="s">
        <v>21</v>
      </c>
      <c r="K125" t="s">
        <v>21</v>
      </c>
      <c r="L125" t="s">
        <v>21</v>
      </c>
      <c r="M125">
        <v>5.0999999999999996</v>
      </c>
      <c r="N125" s="10">
        <v>371</v>
      </c>
      <c r="O125">
        <v>3.23</v>
      </c>
      <c r="P125">
        <v>18</v>
      </c>
      <c r="Q125">
        <v>179.8</v>
      </c>
      <c r="R125" s="10">
        <v>123</v>
      </c>
      <c r="S125">
        <v>104</v>
      </c>
      <c r="T125">
        <v>13</v>
      </c>
      <c r="U125">
        <v>4</v>
      </c>
    </row>
    <row r="126" spans="4:21" x14ac:dyDescent="0.3">
      <c r="D126">
        <v>3069</v>
      </c>
      <c r="E126" t="s">
        <v>23</v>
      </c>
      <c r="F126" t="s">
        <v>19</v>
      </c>
      <c r="G126">
        <v>19318</v>
      </c>
      <c r="H126" t="s">
        <v>26</v>
      </c>
      <c r="I126" t="s">
        <v>24</v>
      </c>
      <c r="J126" t="s">
        <v>21</v>
      </c>
      <c r="K126" t="s">
        <v>24</v>
      </c>
      <c r="L126" t="s">
        <v>24</v>
      </c>
      <c r="M126">
        <v>0.6</v>
      </c>
      <c r="N126">
        <v>251</v>
      </c>
      <c r="O126">
        <v>3.9</v>
      </c>
      <c r="P126">
        <v>25</v>
      </c>
      <c r="Q126">
        <v>57.35</v>
      </c>
      <c r="R126">
        <v>107</v>
      </c>
      <c r="S126">
        <v>182</v>
      </c>
      <c r="T126">
        <v>10.8</v>
      </c>
      <c r="U126">
        <v>4</v>
      </c>
    </row>
    <row r="127" spans="4:21" x14ac:dyDescent="0.3">
      <c r="D127">
        <v>2468</v>
      </c>
      <c r="E127" t="s">
        <v>30</v>
      </c>
      <c r="F127" t="s">
        <v>31</v>
      </c>
      <c r="G127">
        <v>17233</v>
      </c>
      <c r="H127" t="s">
        <v>20</v>
      </c>
      <c r="I127" t="s">
        <v>24</v>
      </c>
      <c r="J127" t="s">
        <v>21</v>
      </c>
      <c r="K127" t="s">
        <v>24</v>
      </c>
      <c r="L127" t="s">
        <v>24</v>
      </c>
      <c r="M127">
        <v>1.3</v>
      </c>
      <c r="N127">
        <v>316</v>
      </c>
      <c r="O127">
        <v>3.51</v>
      </c>
      <c r="P127">
        <v>75</v>
      </c>
      <c r="Q127">
        <v>147.25</v>
      </c>
      <c r="R127">
        <v>137</v>
      </c>
      <c r="S127">
        <v>238</v>
      </c>
      <c r="T127">
        <v>10</v>
      </c>
      <c r="U127">
        <v>4</v>
      </c>
    </row>
    <row r="128" spans="4:21" x14ac:dyDescent="0.3">
      <c r="D128">
        <v>824</v>
      </c>
      <c r="E128" t="s">
        <v>18</v>
      </c>
      <c r="F128" t="s">
        <v>19</v>
      </c>
      <c r="G128">
        <v>19577</v>
      </c>
      <c r="H128" t="s">
        <v>20</v>
      </c>
      <c r="I128" t="s">
        <v>21</v>
      </c>
      <c r="J128" t="s">
        <v>21</v>
      </c>
      <c r="K128" t="s">
        <v>21</v>
      </c>
      <c r="L128" t="s">
        <v>24</v>
      </c>
      <c r="M128">
        <v>1.2</v>
      </c>
      <c r="N128">
        <v>269</v>
      </c>
      <c r="O128">
        <v>3.12</v>
      </c>
      <c r="P128" s="10">
        <v>94</v>
      </c>
      <c r="Q128">
        <v>165.85</v>
      </c>
      <c r="R128">
        <v>68</v>
      </c>
      <c r="S128">
        <v>166</v>
      </c>
      <c r="T128">
        <v>11.1</v>
      </c>
      <c r="U128">
        <v>4</v>
      </c>
    </row>
    <row r="129" spans="4:21" x14ac:dyDescent="0.3">
      <c r="D129">
        <v>3255</v>
      </c>
      <c r="E129" t="s">
        <v>23</v>
      </c>
      <c r="F129" t="s">
        <v>31</v>
      </c>
      <c r="G129">
        <v>16109</v>
      </c>
      <c r="H129" t="s">
        <v>20</v>
      </c>
      <c r="I129" t="s">
        <v>24</v>
      </c>
      <c r="J129" t="s">
        <v>24</v>
      </c>
      <c r="K129" t="s">
        <v>24</v>
      </c>
      <c r="L129" t="s">
        <v>24</v>
      </c>
      <c r="M129">
        <v>0.5</v>
      </c>
      <c r="N129">
        <v>268</v>
      </c>
      <c r="O129">
        <v>4.08</v>
      </c>
      <c r="P129">
        <v>9</v>
      </c>
      <c r="Q129">
        <v>86.8</v>
      </c>
      <c r="R129">
        <v>95</v>
      </c>
      <c r="S129">
        <v>453</v>
      </c>
      <c r="T129">
        <v>10</v>
      </c>
      <c r="U129">
        <v>2</v>
      </c>
    </row>
    <row r="130" spans="4:21" x14ac:dyDescent="0.3">
      <c r="D130">
        <v>1037</v>
      </c>
      <c r="E130" t="s">
        <v>18</v>
      </c>
      <c r="F130" t="s">
        <v>19</v>
      </c>
      <c r="G130">
        <v>15322</v>
      </c>
      <c r="H130" t="s">
        <v>20</v>
      </c>
      <c r="I130" t="s">
        <v>24</v>
      </c>
      <c r="J130" t="s">
        <v>21</v>
      </c>
      <c r="K130" t="s">
        <v>21</v>
      </c>
      <c r="L130" t="s">
        <v>24</v>
      </c>
      <c r="M130">
        <v>16.2</v>
      </c>
      <c r="N130" s="10">
        <v>371</v>
      </c>
      <c r="O130">
        <v>2.89</v>
      </c>
      <c r="P130">
        <v>42</v>
      </c>
      <c r="Q130" s="19">
        <v>246.45</v>
      </c>
      <c r="R130" s="10">
        <v>123</v>
      </c>
      <c r="S130">
        <v>123</v>
      </c>
      <c r="T130">
        <v>12.6</v>
      </c>
      <c r="U130">
        <v>4</v>
      </c>
    </row>
    <row r="131" spans="4:21" x14ac:dyDescent="0.3">
      <c r="D131">
        <v>3239</v>
      </c>
      <c r="E131" t="s">
        <v>23</v>
      </c>
      <c r="F131" t="s">
        <v>19</v>
      </c>
      <c r="G131">
        <v>23235</v>
      </c>
      <c r="H131" t="s">
        <v>20</v>
      </c>
      <c r="I131" t="s">
        <v>24</v>
      </c>
      <c r="J131" t="s">
        <v>21</v>
      </c>
      <c r="K131" t="s">
        <v>24</v>
      </c>
      <c r="L131" t="s">
        <v>24</v>
      </c>
      <c r="M131">
        <v>0.9</v>
      </c>
      <c r="N131">
        <v>420</v>
      </c>
      <c r="O131">
        <v>3.87</v>
      </c>
      <c r="P131">
        <v>30</v>
      </c>
      <c r="Q131">
        <v>57.35</v>
      </c>
      <c r="R131">
        <v>232</v>
      </c>
      <c r="S131" s="10">
        <v>262</v>
      </c>
      <c r="T131">
        <v>9.6999999999999993</v>
      </c>
      <c r="U131">
        <v>3</v>
      </c>
    </row>
    <row r="132" spans="4:21" x14ac:dyDescent="0.3">
      <c r="D132">
        <v>1413</v>
      </c>
      <c r="E132" t="s">
        <v>18</v>
      </c>
      <c r="F132" t="s">
        <v>31</v>
      </c>
      <c r="G132">
        <v>16154</v>
      </c>
      <c r="H132" t="s">
        <v>20</v>
      </c>
      <c r="I132" t="s">
        <v>24</v>
      </c>
      <c r="J132" t="s">
        <v>21</v>
      </c>
      <c r="K132" t="s">
        <v>21</v>
      </c>
      <c r="L132" t="s">
        <v>24</v>
      </c>
      <c r="M132">
        <v>17.399999999999999</v>
      </c>
      <c r="N132">
        <v>1775</v>
      </c>
      <c r="O132">
        <v>3.43</v>
      </c>
      <c r="P132">
        <v>205</v>
      </c>
      <c r="Q132">
        <v>165.85</v>
      </c>
      <c r="R132">
        <v>97</v>
      </c>
      <c r="S132">
        <v>418</v>
      </c>
      <c r="T132">
        <v>11.5</v>
      </c>
      <c r="U132">
        <v>3</v>
      </c>
    </row>
    <row r="133" spans="4:21" x14ac:dyDescent="0.3">
      <c r="D133">
        <v>850</v>
      </c>
      <c r="E133" t="s">
        <v>18</v>
      </c>
      <c r="F133" t="s">
        <v>31</v>
      </c>
      <c r="G133">
        <v>22646</v>
      </c>
      <c r="H133" t="s">
        <v>20</v>
      </c>
      <c r="I133" t="s">
        <v>24</v>
      </c>
      <c r="J133" t="s">
        <v>21</v>
      </c>
      <c r="K133" t="s">
        <v>21</v>
      </c>
      <c r="L133" t="s">
        <v>24</v>
      </c>
      <c r="M133">
        <v>2.8</v>
      </c>
      <c r="N133">
        <v>242</v>
      </c>
      <c r="O133">
        <v>3.8</v>
      </c>
      <c r="P133">
        <v>74</v>
      </c>
      <c r="Q133">
        <v>136.4</v>
      </c>
      <c r="R133">
        <v>104</v>
      </c>
      <c r="S133">
        <v>121</v>
      </c>
      <c r="T133">
        <v>13.2</v>
      </c>
      <c r="U133">
        <v>4</v>
      </c>
    </row>
    <row r="134" spans="4:21" x14ac:dyDescent="0.3">
      <c r="D134">
        <v>2944</v>
      </c>
      <c r="E134" t="s">
        <v>23</v>
      </c>
      <c r="F134" t="s">
        <v>19</v>
      </c>
      <c r="G134">
        <v>14812</v>
      </c>
      <c r="H134" t="s">
        <v>20</v>
      </c>
      <c r="I134" t="s">
        <v>24</v>
      </c>
      <c r="J134" t="s">
        <v>24</v>
      </c>
      <c r="K134" t="s">
        <v>24</v>
      </c>
      <c r="L134" t="s">
        <v>24</v>
      </c>
      <c r="M134">
        <v>1.9</v>
      </c>
      <c r="N134">
        <v>448</v>
      </c>
      <c r="O134">
        <v>3.83</v>
      </c>
      <c r="P134">
        <v>60</v>
      </c>
      <c r="Q134">
        <v>127.1</v>
      </c>
      <c r="R134">
        <v>175</v>
      </c>
      <c r="S134">
        <v>181</v>
      </c>
      <c r="T134">
        <v>9.8000000000000007</v>
      </c>
      <c r="U134">
        <v>3</v>
      </c>
    </row>
    <row r="135" spans="4:21" x14ac:dyDescent="0.3">
      <c r="D135">
        <v>2796</v>
      </c>
      <c r="E135" t="s">
        <v>18</v>
      </c>
      <c r="F135" t="s">
        <v>31</v>
      </c>
      <c r="G135">
        <v>22881</v>
      </c>
      <c r="H135" t="s">
        <v>26</v>
      </c>
      <c r="I135" t="s">
        <v>24</v>
      </c>
      <c r="J135" t="s">
        <v>24</v>
      </c>
      <c r="K135" t="s">
        <v>24</v>
      </c>
      <c r="L135" t="s">
        <v>24</v>
      </c>
      <c r="M135">
        <v>1.5</v>
      </c>
      <c r="N135">
        <v>331</v>
      </c>
      <c r="O135">
        <v>3.95</v>
      </c>
      <c r="P135">
        <v>13</v>
      </c>
      <c r="Q135">
        <v>128.65</v>
      </c>
      <c r="R135">
        <v>99</v>
      </c>
      <c r="S135">
        <v>165</v>
      </c>
      <c r="T135">
        <v>10.1</v>
      </c>
      <c r="U135">
        <v>4</v>
      </c>
    </row>
    <row r="136" spans="4:21" x14ac:dyDescent="0.3">
      <c r="D136">
        <v>3149</v>
      </c>
      <c r="E136" t="s">
        <v>23</v>
      </c>
      <c r="F136" t="s">
        <v>31</v>
      </c>
      <c r="G136">
        <v>15463</v>
      </c>
      <c r="H136" t="s">
        <v>20</v>
      </c>
      <c r="I136" t="s">
        <v>24</v>
      </c>
      <c r="J136" t="s">
        <v>24</v>
      </c>
      <c r="K136" t="s">
        <v>24</v>
      </c>
      <c r="L136" t="s">
        <v>24</v>
      </c>
      <c r="M136">
        <v>0.7</v>
      </c>
      <c r="N136">
        <v>578</v>
      </c>
      <c r="O136">
        <v>3.67</v>
      </c>
      <c r="P136">
        <v>35</v>
      </c>
      <c r="Q136">
        <v>127.1</v>
      </c>
      <c r="R136">
        <v>105</v>
      </c>
      <c r="S136">
        <v>427</v>
      </c>
      <c r="T136">
        <v>10.7</v>
      </c>
      <c r="U136">
        <v>2</v>
      </c>
    </row>
    <row r="137" spans="4:21" x14ac:dyDescent="0.3">
      <c r="D137">
        <v>3150</v>
      </c>
      <c r="E137" t="s">
        <v>23</v>
      </c>
      <c r="F137" t="s">
        <v>19</v>
      </c>
      <c r="G137">
        <v>15694</v>
      </c>
      <c r="H137" t="s">
        <v>20</v>
      </c>
      <c r="I137" t="s">
        <v>24</v>
      </c>
      <c r="J137" t="s">
        <v>24</v>
      </c>
      <c r="K137" t="s">
        <v>24</v>
      </c>
      <c r="L137" t="s">
        <v>24</v>
      </c>
      <c r="M137">
        <v>0.4</v>
      </c>
      <c r="N137">
        <v>263</v>
      </c>
      <c r="O137">
        <v>3.57</v>
      </c>
      <c r="P137">
        <v>123</v>
      </c>
      <c r="Q137">
        <v>74.400000000000006</v>
      </c>
      <c r="R137">
        <v>121</v>
      </c>
      <c r="S137">
        <v>445</v>
      </c>
      <c r="T137">
        <v>11</v>
      </c>
      <c r="U137">
        <v>2</v>
      </c>
    </row>
    <row r="138" spans="4:21" x14ac:dyDescent="0.3">
      <c r="D138">
        <v>3098</v>
      </c>
      <c r="E138" t="s">
        <v>23</v>
      </c>
      <c r="F138" t="s">
        <v>19</v>
      </c>
      <c r="G138">
        <v>20440</v>
      </c>
      <c r="H138" t="s">
        <v>20</v>
      </c>
      <c r="I138" t="s">
        <v>24</v>
      </c>
      <c r="J138" t="s">
        <v>24</v>
      </c>
      <c r="K138" t="s">
        <v>24</v>
      </c>
      <c r="L138" t="s">
        <v>24</v>
      </c>
      <c r="M138">
        <v>0.8</v>
      </c>
      <c r="N138">
        <v>263</v>
      </c>
      <c r="O138">
        <v>3.35</v>
      </c>
      <c r="P138">
        <v>27</v>
      </c>
      <c r="Q138">
        <v>116.25</v>
      </c>
      <c r="R138">
        <v>69</v>
      </c>
      <c r="S138">
        <v>206</v>
      </c>
      <c r="T138">
        <v>9.8000000000000007</v>
      </c>
      <c r="U138">
        <v>2</v>
      </c>
    </row>
    <row r="139" spans="4:21" x14ac:dyDescent="0.3">
      <c r="D139">
        <v>2990</v>
      </c>
      <c r="E139" t="s">
        <v>23</v>
      </c>
      <c r="F139" t="s">
        <v>19</v>
      </c>
      <c r="G139">
        <v>22960</v>
      </c>
      <c r="H139" t="s">
        <v>20</v>
      </c>
      <c r="I139" t="s">
        <v>24</v>
      </c>
      <c r="J139" t="s">
        <v>24</v>
      </c>
      <c r="K139" t="s">
        <v>24</v>
      </c>
      <c r="L139" t="s">
        <v>24</v>
      </c>
      <c r="M139">
        <v>1.1000000000000001</v>
      </c>
      <c r="N139">
        <v>399</v>
      </c>
      <c r="O139">
        <v>3.6</v>
      </c>
      <c r="P139">
        <v>79</v>
      </c>
      <c r="Q139">
        <v>155</v>
      </c>
      <c r="R139">
        <v>152</v>
      </c>
      <c r="S139">
        <v>344</v>
      </c>
      <c r="T139">
        <v>10.1</v>
      </c>
      <c r="U139">
        <v>2</v>
      </c>
    </row>
    <row r="140" spans="4:21" x14ac:dyDescent="0.3">
      <c r="D140">
        <v>1297</v>
      </c>
      <c r="E140" t="s">
        <v>18</v>
      </c>
      <c r="F140" t="s">
        <v>19</v>
      </c>
      <c r="G140">
        <v>18719</v>
      </c>
      <c r="H140" t="s">
        <v>26</v>
      </c>
      <c r="I140" t="s">
        <v>24</v>
      </c>
      <c r="J140" t="s">
        <v>21</v>
      </c>
      <c r="K140" t="s">
        <v>24</v>
      </c>
      <c r="L140" t="s">
        <v>24</v>
      </c>
      <c r="M140">
        <v>7.3</v>
      </c>
      <c r="N140">
        <v>426</v>
      </c>
      <c r="O140">
        <v>3.93</v>
      </c>
      <c r="P140">
        <v>262</v>
      </c>
      <c r="Q140">
        <v>145.69999999999999</v>
      </c>
      <c r="R140">
        <v>218</v>
      </c>
      <c r="S140">
        <v>252</v>
      </c>
      <c r="T140">
        <v>10.5</v>
      </c>
      <c r="U140">
        <v>3</v>
      </c>
    </row>
    <row r="141" spans="4:21" x14ac:dyDescent="0.3">
      <c r="D141">
        <v>2106</v>
      </c>
      <c r="E141" t="s">
        <v>23</v>
      </c>
      <c r="F141" t="s">
        <v>31</v>
      </c>
      <c r="G141">
        <v>17080</v>
      </c>
      <c r="H141" t="s">
        <v>20</v>
      </c>
      <c r="I141" t="s">
        <v>24</v>
      </c>
      <c r="J141" t="s">
        <v>21</v>
      </c>
      <c r="K141" t="s">
        <v>24</v>
      </c>
      <c r="L141" t="s">
        <v>24</v>
      </c>
      <c r="M141">
        <v>1.1000000000000001</v>
      </c>
      <c r="N141">
        <v>328</v>
      </c>
      <c r="O141">
        <v>3.31</v>
      </c>
      <c r="P141">
        <v>159</v>
      </c>
      <c r="Q141">
        <v>94.55</v>
      </c>
      <c r="R141">
        <v>134</v>
      </c>
      <c r="S141">
        <v>142</v>
      </c>
      <c r="T141">
        <v>11.6</v>
      </c>
      <c r="U141">
        <v>4</v>
      </c>
    </row>
    <row r="142" spans="4:21" x14ac:dyDescent="0.3">
      <c r="D142">
        <v>3059</v>
      </c>
      <c r="E142" t="s">
        <v>23</v>
      </c>
      <c r="F142" t="s">
        <v>19</v>
      </c>
      <c r="G142">
        <v>19751</v>
      </c>
      <c r="H142" t="s">
        <v>20</v>
      </c>
      <c r="I142" t="s">
        <v>24</v>
      </c>
      <c r="J142" t="s">
        <v>21</v>
      </c>
      <c r="K142" t="s">
        <v>24</v>
      </c>
      <c r="L142" t="s">
        <v>24</v>
      </c>
      <c r="M142">
        <v>1.1000000000000001</v>
      </c>
      <c r="N142">
        <v>290</v>
      </c>
      <c r="O142">
        <v>4.09</v>
      </c>
      <c r="P142">
        <v>38</v>
      </c>
      <c r="Q142">
        <v>186</v>
      </c>
      <c r="R142">
        <v>146</v>
      </c>
      <c r="S142">
        <v>318</v>
      </c>
      <c r="T142">
        <v>10</v>
      </c>
      <c r="U142">
        <v>3</v>
      </c>
    </row>
    <row r="143" spans="4:21" x14ac:dyDescent="0.3">
      <c r="D143">
        <v>3050</v>
      </c>
      <c r="E143" t="s">
        <v>23</v>
      </c>
      <c r="F143" t="s">
        <v>19</v>
      </c>
      <c r="G143">
        <v>17180</v>
      </c>
      <c r="H143" t="s">
        <v>20</v>
      </c>
      <c r="I143" t="s">
        <v>24</v>
      </c>
      <c r="J143" t="s">
        <v>24</v>
      </c>
      <c r="K143" t="s">
        <v>24</v>
      </c>
      <c r="L143" t="s">
        <v>24</v>
      </c>
      <c r="M143">
        <v>0.9</v>
      </c>
      <c r="N143">
        <v>346</v>
      </c>
      <c r="O143">
        <v>3.77</v>
      </c>
      <c r="P143">
        <v>59</v>
      </c>
      <c r="Q143">
        <v>125.55</v>
      </c>
      <c r="R143">
        <v>56</v>
      </c>
      <c r="S143">
        <v>336</v>
      </c>
      <c r="T143">
        <v>10.6</v>
      </c>
      <c r="U143">
        <v>2</v>
      </c>
    </row>
    <row r="144" spans="4:21" x14ac:dyDescent="0.3">
      <c r="D144">
        <v>2419</v>
      </c>
      <c r="E144" t="s">
        <v>18</v>
      </c>
      <c r="F144" t="s">
        <v>31</v>
      </c>
      <c r="G144">
        <v>20354</v>
      </c>
      <c r="H144" t="s">
        <v>20</v>
      </c>
      <c r="I144" t="s">
        <v>24</v>
      </c>
      <c r="J144" t="s">
        <v>21</v>
      </c>
      <c r="K144" t="s">
        <v>24</v>
      </c>
      <c r="L144" t="s">
        <v>24</v>
      </c>
      <c r="M144">
        <v>1</v>
      </c>
      <c r="N144">
        <v>364</v>
      </c>
      <c r="O144">
        <v>3.48</v>
      </c>
      <c r="P144">
        <v>20</v>
      </c>
      <c r="Q144">
        <v>134.85</v>
      </c>
      <c r="R144">
        <v>88</v>
      </c>
      <c r="S144">
        <v>283</v>
      </c>
      <c r="T144">
        <v>9.9</v>
      </c>
      <c r="U144">
        <v>2</v>
      </c>
    </row>
    <row r="145" spans="4:21" x14ac:dyDescent="0.3">
      <c r="D145">
        <v>786</v>
      </c>
      <c r="E145" t="s">
        <v>18</v>
      </c>
      <c r="F145" t="s">
        <v>31</v>
      </c>
      <c r="G145">
        <v>16839</v>
      </c>
      <c r="H145" t="s">
        <v>20</v>
      </c>
      <c r="I145" t="s">
        <v>24</v>
      </c>
      <c r="J145" t="s">
        <v>21</v>
      </c>
      <c r="K145" t="s">
        <v>24</v>
      </c>
      <c r="L145" t="s">
        <v>24</v>
      </c>
      <c r="M145">
        <v>2.9</v>
      </c>
      <c r="N145">
        <v>332</v>
      </c>
      <c r="O145">
        <v>3.6</v>
      </c>
      <c r="P145">
        <v>86</v>
      </c>
      <c r="Q145">
        <v>134.85</v>
      </c>
      <c r="R145">
        <v>103</v>
      </c>
      <c r="S145">
        <v>277</v>
      </c>
      <c r="T145">
        <v>11</v>
      </c>
      <c r="U145">
        <v>4</v>
      </c>
    </row>
    <row r="146" spans="4:21" x14ac:dyDescent="0.3">
      <c r="D146">
        <v>943</v>
      </c>
      <c r="E146" t="s">
        <v>18</v>
      </c>
      <c r="F146" t="s">
        <v>31</v>
      </c>
      <c r="G146">
        <v>19098</v>
      </c>
      <c r="H146" t="s">
        <v>20</v>
      </c>
      <c r="I146" t="s">
        <v>24</v>
      </c>
      <c r="J146" t="s">
        <v>21</v>
      </c>
      <c r="K146" t="s">
        <v>24</v>
      </c>
      <c r="L146" t="s">
        <v>27</v>
      </c>
      <c r="M146" s="19">
        <v>17.399999999999999</v>
      </c>
      <c r="N146">
        <v>556</v>
      </c>
      <c r="O146">
        <v>3.26</v>
      </c>
      <c r="P146">
        <v>152</v>
      </c>
      <c r="Q146">
        <v>198.4</v>
      </c>
      <c r="R146">
        <v>171</v>
      </c>
      <c r="S146">
        <v>335</v>
      </c>
      <c r="T146">
        <v>10</v>
      </c>
      <c r="U146">
        <v>3</v>
      </c>
    </row>
    <row r="147" spans="4:21" x14ac:dyDescent="0.3">
      <c r="D147">
        <v>2976</v>
      </c>
      <c r="E147" t="s">
        <v>23</v>
      </c>
      <c r="F147" t="s">
        <v>31</v>
      </c>
      <c r="G147">
        <v>18701</v>
      </c>
      <c r="H147" t="s">
        <v>20</v>
      </c>
      <c r="I147" t="s">
        <v>24</v>
      </c>
      <c r="J147" t="s">
        <v>24</v>
      </c>
      <c r="K147" t="s">
        <v>21</v>
      </c>
      <c r="L147" t="s">
        <v>24</v>
      </c>
      <c r="M147">
        <v>0.7</v>
      </c>
      <c r="N147">
        <v>309</v>
      </c>
      <c r="O147">
        <v>3.84</v>
      </c>
      <c r="P147">
        <v>96</v>
      </c>
      <c r="Q147">
        <v>41.85</v>
      </c>
      <c r="R147">
        <v>106</v>
      </c>
      <c r="S147">
        <v>253</v>
      </c>
      <c r="T147">
        <v>11.4</v>
      </c>
      <c r="U147">
        <v>3</v>
      </c>
    </row>
    <row r="148" spans="4:21" x14ac:dyDescent="0.3">
      <c r="D148">
        <v>2615</v>
      </c>
      <c r="E148" t="s">
        <v>23</v>
      </c>
      <c r="F148" t="s">
        <v>31</v>
      </c>
      <c r="G148">
        <v>12369</v>
      </c>
      <c r="H148" t="s">
        <v>20</v>
      </c>
      <c r="I148" t="s">
        <v>24</v>
      </c>
      <c r="J148" t="s">
        <v>24</v>
      </c>
      <c r="K148" t="s">
        <v>24</v>
      </c>
      <c r="L148" t="s">
        <v>27</v>
      </c>
      <c r="M148">
        <v>1.2</v>
      </c>
      <c r="N148" s="10">
        <v>371</v>
      </c>
      <c r="O148">
        <v>3.89</v>
      </c>
      <c r="P148">
        <v>58</v>
      </c>
      <c r="Q148">
        <v>173.6</v>
      </c>
      <c r="R148" s="10">
        <v>123</v>
      </c>
      <c r="S148">
        <v>239</v>
      </c>
      <c r="T148">
        <v>9.4</v>
      </c>
      <c r="U148">
        <v>3</v>
      </c>
    </row>
    <row r="149" spans="4:21" x14ac:dyDescent="0.3">
      <c r="D149">
        <v>2995</v>
      </c>
      <c r="E149" t="s">
        <v>23</v>
      </c>
      <c r="F149" t="s">
        <v>19</v>
      </c>
      <c r="G149">
        <v>27398</v>
      </c>
      <c r="H149" t="s">
        <v>20</v>
      </c>
      <c r="I149" t="s">
        <v>24</v>
      </c>
      <c r="J149" t="s">
        <v>24</v>
      </c>
      <c r="K149" t="s">
        <v>24</v>
      </c>
      <c r="L149" t="s">
        <v>27</v>
      </c>
      <c r="M149">
        <v>1.2</v>
      </c>
      <c r="N149">
        <v>288</v>
      </c>
      <c r="O149">
        <v>3.37</v>
      </c>
      <c r="P149">
        <v>32</v>
      </c>
      <c r="Q149">
        <v>57.35</v>
      </c>
      <c r="R149">
        <v>114</v>
      </c>
      <c r="S149">
        <v>213</v>
      </c>
      <c r="T149">
        <v>10.7</v>
      </c>
      <c r="U149">
        <v>2</v>
      </c>
    </row>
    <row r="150" spans="4:21" x14ac:dyDescent="0.3">
      <c r="D150">
        <v>1427</v>
      </c>
      <c r="E150" t="s">
        <v>18</v>
      </c>
      <c r="F150" t="s">
        <v>31</v>
      </c>
      <c r="G150">
        <v>11273</v>
      </c>
      <c r="H150" t="s">
        <v>20</v>
      </c>
      <c r="I150" t="s">
        <v>24</v>
      </c>
      <c r="J150" t="s">
        <v>21</v>
      </c>
      <c r="K150" t="s">
        <v>24</v>
      </c>
      <c r="L150" t="s">
        <v>24</v>
      </c>
      <c r="M150">
        <v>7.2</v>
      </c>
      <c r="N150">
        <v>1015</v>
      </c>
      <c r="O150">
        <v>3.26</v>
      </c>
      <c r="P150">
        <v>247</v>
      </c>
      <c r="Q150">
        <v>198.4</v>
      </c>
      <c r="R150">
        <v>280</v>
      </c>
      <c r="S150">
        <v>330</v>
      </c>
      <c r="T150">
        <v>9.8000000000000007</v>
      </c>
      <c r="U150">
        <v>3</v>
      </c>
    </row>
    <row r="151" spans="4:21" x14ac:dyDescent="0.3">
      <c r="D151">
        <v>762</v>
      </c>
      <c r="E151" t="s">
        <v>18</v>
      </c>
      <c r="F151" t="s">
        <v>19</v>
      </c>
      <c r="G151">
        <v>22574</v>
      </c>
      <c r="H151" t="s">
        <v>26</v>
      </c>
      <c r="I151" t="s">
        <v>24</v>
      </c>
      <c r="J151" t="s">
        <v>21</v>
      </c>
      <c r="K151" t="s">
        <v>21</v>
      </c>
      <c r="L151" t="s">
        <v>27</v>
      </c>
      <c r="M151">
        <v>3</v>
      </c>
      <c r="N151">
        <v>257</v>
      </c>
      <c r="O151">
        <v>3.79</v>
      </c>
      <c r="P151">
        <v>290</v>
      </c>
      <c r="Q151">
        <v>102.3</v>
      </c>
      <c r="R151">
        <v>112</v>
      </c>
      <c r="S151">
        <v>140</v>
      </c>
      <c r="T151">
        <v>9.9</v>
      </c>
      <c r="U151">
        <v>4</v>
      </c>
    </row>
    <row r="152" spans="4:21" x14ac:dyDescent="0.3">
      <c r="D152">
        <v>2891</v>
      </c>
      <c r="E152" t="s">
        <v>23</v>
      </c>
      <c r="F152" t="s">
        <v>31</v>
      </c>
      <c r="G152">
        <v>12779</v>
      </c>
      <c r="H152" t="s">
        <v>20</v>
      </c>
      <c r="I152" t="s">
        <v>24</v>
      </c>
      <c r="J152" t="s">
        <v>24</v>
      </c>
      <c r="K152" t="s">
        <v>21</v>
      </c>
      <c r="L152" t="s">
        <v>24</v>
      </c>
      <c r="M152">
        <v>1</v>
      </c>
      <c r="N152" s="10">
        <v>371</v>
      </c>
      <c r="O152">
        <v>3.63</v>
      </c>
      <c r="P152">
        <v>57</v>
      </c>
      <c r="Q152">
        <v>134.85</v>
      </c>
      <c r="R152" s="10">
        <v>123</v>
      </c>
      <c r="S152">
        <v>233</v>
      </c>
      <c r="T152">
        <v>10</v>
      </c>
      <c r="U152">
        <v>1</v>
      </c>
    </row>
    <row r="153" spans="4:21" x14ac:dyDescent="0.3">
      <c r="D153">
        <v>2870</v>
      </c>
      <c r="E153" t="s">
        <v>23</v>
      </c>
      <c r="F153" t="s">
        <v>19</v>
      </c>
      <c r="G153">
        <v>20104</v>
      </c>
      <c r="H153" t="s">
        <v>20</v>
      </c>
      <c r="I153" t="s">
        <v>24</v>
      </c>
      <c r="J153" t="s">
        <v>24</v>
      </c>
      <c r="K153" t="s">
        <v>24</v>
      </c>
      <c r="L153" t="s">
        <v>24</v>
      </c>
      <c r="M153">
        <v>0.9</v>
      </c>
      <c r="N153">
        <v>460</v>
      </c>
      <c r="O153">
        <v>3.03</v>
      </c>
      <c r="P153">
        <v>57</v>
      </c>
      <c r="Q153">
        <v>85.25</v>
      </c>
      <c r="R153">
        <v>174</v>
      </c>
      <c r="S153">
        <v>301</v>
      </c>
      <c r="T153">
        <v>9.4</v>
      </c>
      <c r="U153">
        <v>2</v>
      </c>
    </row>
    <row r="154" spans="4:21" x14ac:dyDescent="0.3">
      <c r="D154">
        <v>1152</v>
      </c>
      <c r="E154" t="s">
        <v>18</v>
      </c>
      <c r="F154" t="s">
        <v>19</v>
      </c>
      <c r="G154">
        <v>25546</v>
      </c>
      <c r="H154" t="s">
        <v>26</v>
      </c>
      <c r="I154" t="s">
        <v>24</v>
      </c>
      <c r="J154" t="s">
        <v>21</v>
      </c>
      <c r="K154" t="s">
        <v>24</v>
      </c>
      <c r="L154" t="s">
        <v>24</v>
      </c>
      <c r="M154">
        <v>2.2999999999999998</v>
      </c>
      <c r="N154">
        <v>586</v>
      </c>
      <c r="O154">
        <v>3.01</v>
      </c>
      <c r="P154">
        <v>243</v>
      </c>
      <c r="Q154">
        <v>114.7</v>
      </c>
      <c r="R154">
        <v>126</v>
      </c>
      <c r="S154">
        <v>339</v>
      </c>
      <c r="T154">
        <v>10.9</v>
      </c>
      <c r="U154">
        <v>3</v>
      </c>
    </row>
    <row r="155" spans="4:21" x14ac:dyDescent="0.3">
      <c r="D155">
        <v>2863</v>
      </c>
      <c r="E155" t="s">
        <v>23</v>
      </c>
      <c r="F155" t="s">
        <v>19</v>
      </c>
      <c r="G155">
        <v>18118</v>
      </c>
      <c r="H155" t="s">
        <v>20</v>
      </c>
      <c r="I155" t="s">
        <v>24</v>
      </c>
      <c r="J155" t="s">
        <v>24</v>
      </c>
      <c r="K155" t="s">
        <v>24</v>
      </c>
      <c r="L155" t="s">
        <v>24</v>
      </c>
      <c r="M155">
        <v>0.5</v>
      </c>
      <c r="N155">
        <v>217</v>
      </c>
      <c r="O155">
        <v>3.85</v>
      </c>
      <c r="P155">
        <v>68</v>
      </c>
      <c r="Q155">
        <v>54.25</v>
      </c>
      <c r="R155">
        <v>68</v>
      </c>
      <c r="S155">
        <v>270</v>
      </c>
      <c r="T155">
        <v>11.1</v>
      </c>
      <c r="U155">
        <v>1</v>
      </c>
    </row>
    <row r="156" spans="4:21" x14ac:dyDescent="0.3">
      <c r="D156">
        <v>140</v>
      </c>
      <c r="E156" t="s">
        <v>18</v>
      </c>
      <c r="F156" t="s">
        <v>19</v>
      </c>
      <c r="G156">
        <v>25340</v>
      </c>
      <c r="H156" t="s">
        <v>26</v>
      </c>
      <c r="I156" t="s">
        <v>24</v>
      </c>
      <c r="J156" t="s">
        <v>24</v>
      </c>
      <c r="K156" t="s">
        <v>21</v>
      </c>
      <c r="L156" t="s">
        <v>21</v>
      </c>
      <c r="M156">
        <v>2.4</v>
      </c>
      <c r="N156">
        <v>168</v>
      </c>
      <c r="O156">
        <v>2.56</v>
      </c>
      <c r="P156">
        <v>225</v>
      </c>
      <c r="Q156">
        <v>120.9</v>
      </c>
      <c r="R156">
        <v>75</v>
      </c>
      <c r="S156">
        <v>108</v>
      </c>
      <c r="T156">
        <v>14.1</v>
      </c>
      <c r="U156">
        <v>3</v>
      </c>
    </row>
    <row r="157" spans="4:21" x14ac:dyDescent="0.3">
      <c r="D157">
        <v>2666</v>
      </c>
      <c r="E157" t="s">
        <v>23</v>
      </c>
      <c r="F157" t="s">
        <v>31</v>
      </c>
      <c r="G157">
        <v>15909</v>
      </c>
      <c r="H157" t="s">
        <v>20</v>
      </c>
      <c r="I157" t="s">
        <v>24</v>
      </c>
      <c r="J157" t="s">
        <v>21</v>
      </c>
      <c r="K157" t="s">
        <v>21</v>
      </c>
      <c r="L157" t="s">
        <v>27</v>
      </c>
      <c r="M157">
        <v>0.6</v>
      </c>
      <c r="N157">
        <v>220</v>
      </c>
      <c r="O157">
        <v>3.35</v>
      </c>
      <c r="P157">
        <v>57</v>
      </c>
      <c r="Q157">
        <v>153.44999999999999</v>
      </c>
      <c r="R157">
        <v>80</v>
      </c>
      <c r="S157">
        <v>311</v>
      </c>
      <c r="T157">
        <v>11.2</v>
      </c>
      <c r="U157">
        <v>4</v>
      </c>
    </row>
    <row r="158" spans="4:21" x14ac:dyDescent="0.3">
      <c r="D158">
        <v>853</v>
      </c>
      <c r="E158" t="s">
        <v>18</v>
      </c>
      <c r="F158" t="s">
        <v>31</v>
      </c>
      <c r="G158">
        <v>21699</v>
      </c>
      <c r="H158" t="s">
        <v>20</v>
      </c>
      <c r="I158" t="s">
        <v>24</v>
      </c>
      <c r="J158" t="s">
        <v>21</v>
      </c>
      <c r="K158" t="s">
        <v>24</v>
      </c>
      <c r="L158" t="s">
        <v>24</v>
      </c>
      <c r="M158" s="19">
        <v>17.399999999999999</v>
      </c>
      <c r="N158">
        <v>358</v>
      </c>
      <c r="O158">
        <v>3.52</v>
      </c>
      <c r="P158">
        <v>219</v>
      </c>
      <c r="Q158">
        <v>201.5</v>
      </c>
      <c r="R158">
        <v>205</v>
      </c>
      <c r="S158">
        <v>151</v>
      </c>
      <c r="T158">
        <v>11.5</v>
      </c>
      <c r="U158">
        <v>2</v>
      </c>
    </row>
    <row r="159" spans="4:21" x14ac:dyDescent="0.3">
      <c r="D159">
        <v>2835</v>
      </c>
      <c r="E159" t="s">
        <v>23</v>
      </c>
      <c r="F159" t="s">
        <v>31</v>
      </c>
      <c r="G159">
        <v>17809</v>
      </c>
      <c r="H159" t="s">
        <v>20</v>
      </c>
      <c r="I159" t="s">
        <v>24</v>
      </c>
      <c r="J159" t="s">
        <v>24</v>
      </c>
      <c r="K159" t="s">
        <v>24</v>
      </c>
      <c r="L159" t="s">
        <v>24</v>
      </c>
      <c r="M159">
        <v>0.6</v>
      </c>
      <c r="N159">
        <v>286</v>
      </c>
      <c r="O159">
        <v>3.42</v>
      </c>
      <c r="P159">
        <v>34</v>
      </c>
      <c r="Q159">
        <v>77.5</v>
      </c>
      <c r="R159">
        <v>206</v>
      </c>
      <c r="S159">
        <v>487</v>
      </c>
      <c r="T159">
        <v>10</v>
      </c>
      <c r="U159">
        <v>2</v>
      </c>
    </row>
    <row r="160" spans="4:21" x14ac:dyDescent="0.3">
      <c r="D160">
        <v>2475</v>
      </c>
      <c r="E160" t="s">
        <v>30</v>
      </c>
      <c r="F160" t="s">
        <v>19</v>
      </c>
      <c r="G160">
        <v>13329</v>
      </c>
      <c r="H160" t="s">
        <v>20</v>
      </c>
      <c r="I160" t="s">
        <v>24</v>
      </c>
      <c r="J160" t="s">
        <v>24</v>
      </c>
      <c r="K160" t="s">
        <v>24</v>
      </c>
      <c r="L160" t="s">
        <v>24</v>
      </c>
      <c r="M160">
        <v>3.4</v>
      </c>
      <c r="N160">
        <v>450</v>
      </c>
      <c r="O160">
        <v>3.37</v>
      </c>
      <c r="P160">
        <v>32</v>
      </c>
      <c r="Q160">
        <v>116.25</v>
      </c>
      <c r="R160">
        <v>118</v>
      </c>
      <c r="S160">
        <v>313</v>
      </c>
      <c r="T160">
        <v>11.2</v>
      </c>
      <c r="U160">
        <v>2</v>
      </c>
    </row>
    <row r="161" spans="4:21" x14ac:dyDescent="0.3">
      <c r="D161">
        <v>1536</v>
      </c>
      <c r="E161" t="s">
        <v>18</v>
      </c>
      <c r="F161" t="s">
        <v>31</v>
      </c>
      <c r="G161">
        <v>16714</v>
      </c>
      <c r="H161" t="s">
        <v>26</v>
      </c>
      <c r="I161" t="s">
        <v>24</v>
      </c>
      <c r="J161" t="s">
        <v>24</v>
      </c>
      <c r="K161" t="s">
        <v>24</v>
      </c>
      <c r="L161" t="s">
        <v>24</v>
      </c>
      <c r="M161">
        <v>2.5</v>
      </c>
      <c r="N161">
        <v>317</v>
      </c>
      <c r="O161">
        <v>3.46</v>
      </c>
      <c r="P161">
        <v>217</v>
      </c>
      <c r="Q161">
        <v>130.19999999999999</v>
      </c>
      <c r="R161">
        <v>140</v>
      </c>
      <c r="S161">
        <v>207</v>
      </c>
      <c r="T161">
        <v>10.1</v>
      </c>
      <c r="U161">
        <v>3</v>
      </c>
    </row>
    <row r="162" spans="4:21" x14ac:dyDescent="0.3">
      <c r="D162">
        <v>2772</v>
      </c>
      <c r="E162" t="s">
        <v>23</v>
      </c>
      <c r="F162" t="s">
        <v>31</v>
      </c>
      <c r="G162">
        <v>20955</v>
      </c>
      <c r="H162" t="s">
        <v>20</v>
      </c>
      <c r="I162" t="s">
        <v>24</v>
      </c>
      <c r="J162" t="s">
        <v>24</v>
      </c>
      <c r="K162" t="s">
        <v>24</v>
      </c>
      <c r="L162" t="s">
        <v>24</v>
      </c>
      <c r="M162">
        <v>0.6</v>
      </c>
      <c r="N162">
        <v>217</v>
      </c>
      <c r="O162">
        <v>3.62</v>
      </c>
      <c r="P162">
        <v>13</v>
      </c>
      <c r="Q162">
        <v>75.95</v>
      </c>
      <c r="R162">
        <v>119</v>
      </c>
      <c r="S162">
        <v>224</v>
      </c>
      <c r="T162">
        <v>10.5</v>
      </c>
      <c r="U162">
        <v>3</v>
      </c>
    </row>
    <row r="163" spans="4:21" x14ac:dyDescent="0.3">
      <c r="D163">
        <v>2797</v>
      </c>
      <c r="E163" t="s">
        <v>23</v>
      </c>
      <c r="F163" t="s">
        <v>31</v>
      </c>
      <c r="G163">
        <v>15612</v>
      </c>
      <c r="H163" t="s">
        <v>20</v>
      </c>
      <c r="I163" t="s">
        <v>24</v>
      </c>
      <c r="J163" t="s">
        <v>24</v>
      </c>
      <c r="K163" t="s">
        <v>24</v>
      </c>
      <c r="L163" t="s">
        <v>24</v>
      </c>
      <c r="M163">
        <v>2.2999999999999998</v>
      </c>
      <c r="N163">
        <v>502</v>
      </c>
      <c r="O163">
        <v>3.56</v>
      </c>
      <c r="P163">
        <v>4</v>
      </c>
      <c r="Q163">
        <v>120.9</v>
      </c>
      <c r="R163">
        <v>180</v>
      </c>
      <c r="S163">
        <v>269</v>
      </c>
      <c r="T163">
        <v>9.6</v>
      </c>
      <c r="U163">
        <v>2</v>
      </c>
    </row>
    <row r="164" spans="4:21" x14ac:dyDescent="0.3">
      <c r="D164">
        <v>186</v>
      </c>
      <c r="E164" t="s">
        <v>18</v>
      </c>
      <c r="F164" t="s">
        <v>31</v>
      </c>
      <c r="G164">
        <v>21483</v>
      </c>
      <c r="H164" t="s">
        <v>20</v>
      </c>
      <c r="I164" t="s">
        <v>24</v>
      </c>
      <c r="J164" t="s">
        <v>21</v>
      </c>
      <c r="K164" t="s">
        <v>21</v>
      </c>
      <c r="L164" t="s">
        <v>24</v>
      </c>
      <c r="M164">
        <v>3.2</v>
      </c>
      <c r="N164">
        <v>260</v>
      </c>
      <c r="O164">
        <v>3.19</v>
      </c>
      <c r="P164">
        <v>91</v>
      </c>
      <c r="Q164">
        <v>127.1</v>
      </c>
      <c r="R164">
        <v>101</v>
      </c>
      <c r="S164">
        <v>160</v>
      </c>
      <c r="T164">
        <v>12</v>
      </c>
      <c r="U164">
        <v>4</v>
      </c>
    </row>
    <row r="165" spans="4:21" x14ac:dyDescent="0.3">
      <c r="D165">
        <v>2055</v>
      </c>
      <c r="E165" t="s">
        <v>18</v>
      </c>
      <c r="F165" t="s">
        <v>19</v>
      </c>
      <c r="G165">
        <v>19540</v>
      </c>
      <c r="H165" t="s">
        <v>20</v>
      </c>
      <c r="I165" t="s">
        <v>24</v>
      </c>
      <c r="J165" t="s">
        <v>24</v>
      </c>
      <c r="K165" t="s">
        <v>24</v>
      </c>
      <c r="L165" t="s">
        <v>24</v>
      </c>
      <c r="M165">
        <v>0.3</v>
      </c>
      <c r="N165">
        <v>233</v>
      </c>
      <c r="O165">
        <v>4.08</v>
      </c>
      <c r="P165">
        <v>20</v>
      </c>
      <c r="Q165">
        <v>66.650000000000006</v>
      </c>
      <c r="R165">
        <v>68</v>
      </c>
      <c r="S165">
        <v>358</v>
      </c>
      <c r="T165">
        <v>9.9</v>
      </c>
      <c r="U165">
        <v>3</v>
      </c>
    </row>
    <row r="166" spans="4:21" x14ac:dyDescent="0.3">
      <c r="D166">
        <v>264</v>
      </c>
      <c r="E166" t="s">
        <v>18</v>
      </c>
      <c r="F166" t="s">
        <v>31</v>
      </c>
      <c r="G166">
        <v>15857</v>
      </c>
      <c r="H166" t="s">
        <v>20</v>
      </c>
      <c r="I166" t="s">
        <v>24</v>
      </c>
      <c r="J166" t="s">
        <v>21</v>
      </c>
      <c r="K166" t="s">
        <v>21</v>
      </c>
      <c r="L166" t="s">
        <v>27</v>
      </c>
      <c r="M166">
        <v>8.5</v>
      </c>
      <c r="N166" s="10">
        <v>371</v>
      </c>
      <c r="O166">
        <v>3.34</v>
      </c>
      <c r="P166">
        <v>161</v>
      </c>
      <c r="Q166">
        <v>181.35</v>
      </c>
      <c r="R166" s="10">
        <v>123</v>
      </c>
      <c r="S166">
        <v>88</v>
      </c>
      <c r="T166">
        <v>13.3</v>
      </c>
      <c r="U166">
        <v>4</v>
      </c>
    </row>
    <row r="167" spans="4:21" x14ac:dyDescent="0.3">
      <c r="D167">
        <v>1077</v>
      </c>
      <c r="E167" t="s">
        <v>18</v>
      </c>
      <c r="F167" t="s">
        <v>19</v>
      </c>
      <c r="G167">
        <v>19470</v>
      </c>
      <c r="H167" t="s">
        <v>26</v>
      </c>
      <c r="I167" t="s">
        <v>24</v>
      </c>
      <c r="J167" t="s">
        <v>21</v>
      </c>
      <c r="K167" t="s">
        <v>24</v>
      </c>
      <c r="L167" t="s">
        <v>24</v>
      </c>
      <c r="M167">
        <v>4</v>
      </c>
      <c r="N167">
        <v>196</v>
      </c>
      <c r="O167">
        <v>3.45</v>
      </c>
      <c r="P167">
        <v>80</v>
      </c>
      <c r="Q167">
        <v>133.30000000000001</v>
      </c>
      <c r="R167">
        <v>142</v>
      </c>
      <c r="S167">
        <v>212</v>
      </c>
      <c r="T167">
        <v>11.3</v>
      </c>
      <c r="U167">
        <v>4</v>
      </c>
    </row>
    <row r="168" spans="4:21" x14ac:dyDescent="0.3">
      <c r="D168">
        <v>2721</v>
      </c>
      <c r="E168" t="s">
        <v>23</v>
      </c>
      <c r="F168" t="s">
        <v>31</v>
      </c>
      <c r="G168">
        <v>15105</v>
      </c>
      <c r="H168" t="s">
        <v>20</v>
      </c>
      <c r="I168" t="s">
        <v>24</v>
      </c>
      <c r="J168" t="s">
        <v>21</v>
      </c>
      <c r="K168" t="s">
        <v>24</v>
      </c>
      <c r="L168" t="s">
        <v>24</v>
      </c>
      <c r="M168">
        <v>5.7</v>
      </c>
      <c r="N168">
        <v>1480</v>
      </c>
      <c r="O168">
        <v>3.26</v>
      </c>
      <c r="P168">
        <v>84</v>
      </c>
      <c r="Q168" s="19">
        <v>246.45</v>
      </c>
      <c r="R168">
        <v>108</v>
      </c>
      <c r="S168">
        <v>213</v>
      </c>
      <c r="T168">
        <v>9.5</v>
      </c>
      <c r="U168">
        <v>2</v>
      </c>
    </row>
    <row r="169" spans="4:21" x14ac:dyDescent="0.3">
      <c r="D169">
        <v>1682</v>
      </c>
      <c r="E169" t="s">
        <v>18</v>
      </c>
      <c r="F169" t="s">
        <v>19</v>
      </c>
      <c r="G169">
        <v>22265</v>
      </c>
      <c r="H169" t="s">
        <v>26</v>
      </c>
      <c r="I169" t="s">
        <v>24</v>
      </c>
      <c r="J169" t="s">
        <v>21</v>
      </c>
      <c r="K169" t="s">
        <v>24</v>
      </c>
      <c r="L169" t="s">
        <v>24</v>
      </c>
      <c r="M169">
        <v>0.9</v>
      </c>
      <c r="N169">
        <v>376</v>
      </c>
      <c r="O169">
        <v>3.86</v>
      </c>
      <c r="P169">
        <v>200</v>
      </c>
      <c r="Q169">
        <v>83.7</v>
      </c>
      <c r="R169">
        <v>154</v>
      </c>
      <c r="S169">
        <v>238</v>
      </c>
      <c r="T169">
        <v>10.3</v>
      </c>
      <c r="U169">
        <v>4</v>
      </c>
    </row>
    <row r="170" spans="4:21" x14ac:dyDescent="0.3">
      <c r="D170">
        <v>2713</v>
      </c>
      <c r="E170" t="s">
        <v>23</v>
      </c>
      <c r="F170" t="s">
        <v>31</v>
      </c>
      <c r="G170">
        <v>17442</v>
      </c>
      <c r="H170" t="s">
        <v>20</v>
      </c>
      <c r="I170" t="s">
        <v>24</v>
      </c>
      <c r="J170" t="s">
        <v>21</v>
      </c>
      <c r="K170" t="s">
        <v>24</v>
      </c>
      <c r="L170" t="s">
        <v>24</v>
      </c>
      <c r="M170">
        <v>0.4</v>
      </c>
      <c r="N170">
        <v>257</v>
      </c>
      <c r="O170">
        <v>3.8</v>
      </c>
      <c r="P170">
        <v>44</v>
      </c>
      <c r="Q170">
        <v>97.65</v>
      </c>
      <c r="R170">
        <v>110</v>
      </c>
      <c r="S170" s="10">
        <v>262</v>
      </c>
      <c r="T170">
        <v>9.1999999999999993</v>
      </c>
      <c r="U170">
        <v>2</v>
      </c>
    </row>
    <row r="171" spans="4:21" x14ac:dyDescent="0.3">
      <c r="D171">
        <v>1212</v>
      </c>
      <c r="E171" t="s">
        <v>18</v>
      </c>
      <c r="F171" t="s">
        <v>31</v>
      </c>
      <c r="G171">
        <v>12963</v>
      </c>
      <c r="H171" t="s">
        <v>20</v>
      </c>
      <c r="I171" t="s">
        <v>24</v>
      </c>
      <c r="J171" t="s">
        <v>24</v>
      </c>
      <c r="K171" t="s">
        <v>24</v>
      </c>
      <c r="L171" t="s">
        <v>24</v>
      </c>
      <c r="M171">
        <v>1.3</v>
      </c>
      <c r="N171">
        <v>408</v>
      </c>
      <c r="O171">
        <v>4.22</v>
      </c>
      <c r="P171">
        <v>67</v>
      </c>
      <c r="Q171">
        <v>142.6</v>
      </c>
      <c r="R171">
        <v>137</v>
      </c>
      <c r="S171">
        <v>295</v>
      </c>
      <c r="T171">
        <v>10.1</v>
      </c>
      <c r="U171">
        <v>3</v>
      </c>
    </row>
    <row r="172" spans="4:21" x14ac:dyDescent="0.3">
      <c r="D172">
        <v>2692</v>
      </c>
      <c r="E172" t="s">
        <v>23</v>
      </c>
      <c r="F172" t="s">
        <v>19</v>
      </c>
      <c r="G172">
        <v>17774</v>
      </c>
      <c r="H172" t="s">
        <v>20</v>
      </c>
      <c r="I172" t="s">
        <v>24</v>
      </c>
      <c r="J172" t="s">
        <v>24</v>
      </c>
      <c r="K172" t="s">
        <v>24</v>
      </c>
      <c r="L172" t="s">
        <v>24</v>
      </c>
      <c r="M172">
        <v>1.2</v>
      </c>
      <c r="N172">
        <v>390</v>
      </c>
      <c r="O172">
        <v>3.61</v>
      </c>
      <c r="P172">
        <v>32</v>
      </c>
      <c r="Q172">
        <v>88.35</v>
      </c>
      <c r="R172">
        <v>52</v>
      </c>
      <c r="S172">
        <v>263</v>
      </c>
      <c r="T172">
        <v>9</v>
      </c>
      <c r="U172">
        <v>3</v>
      </c>
    </row>
    <row r="173" spans="4:21" x14ac:dyDescent="0.3">
      <c r="D173">
        <v>2574</v>
      </c>
      <c r="E173" t="s">
        <v>23</v>
      </c>
      <c r="F173" t="s">
        <v>19</v>
      </c>
      <c r="G173">
        <v>19237</v>
      </c>
      <c r="H173" t="s">
        <v>20</v>
      </c>
      <c r="I173" t="s">
        <v>24</v>
      </c>
      <c r="J173" t="s">
        <v>24</v>
      </c>
      <c r="K173" t="s">
        <v>24</v>
      </c>
      <c r="L173" t="s">
        <v>24</v>
      </c>
      <c r="M173">
        <v>0.5</v>
      </c>
      <c r="N173" s="10">
        <v>371</v>
      </c>
      <c r="O173">
        <v>4.5199999999999996</v>
      </c>
      <c r="P173">
        <v>31</v>
      </c>
      <c r="Q173">
        <v>74.400000000000006</v>
      </c>
      <c r="R173" s="10">
        <v>123</v>
      </c>
      <c r="S173">
        <v>361</v>
      </c>
      <c r="T173">
        <v>10.1</v>
      </c>
      <c r="U173">
        <v>3</v>
      </c>
    </row>
    <row r="174" spans="4:21" x14ac:dyDescent="0.3">
      <c r="D174">
        <v>2301</v>
      </c>
      <c r="E174" t="s">
        <v>23</v>
      </c>
      <c r="F174" t="s">
        <v>31</v>
      </c>
      <c r="G174">
        <v>18215</v>
      </c>
      <c r="H174" t="s">
        <v>20</v>
      </c>
      <c r="I174" t="s">
        <v>24</v>
      </c>
      <c r="J174" t="s">
        <v>24</v>
      </c>
      <c r="K174" t="s">
        <v>21</v>
      </c>
      <c r="L174" t="s">
        <v>24</v>
      </c>
      <c r="M174">
        <v>1.3</v>
      </c>
      <c r="N174">
        <v>205</v>
      </c>
      <c r="O174">
        <v>3.34</v>
      </c>
      <c r="P174">
        <v>65</v>
      </c>
      <c r="Q174">
        <v>91.45</v>
      </c>
      <c r="R174">
        <v>126</v>
      </c>
      <c r="S174">
        <v>217</v>
      </c>
      <c r="T174">
        <v>9.8000000000000007</v>
      </c>
      <c r="U174">
        <v>3</v>
      </c>
    </row>
    <row r="175" spans="4:21" x14ac:dyDescent="0.3">
      <c r="D175">
        <v>2657</v>
      </c>
      <c r="E175" t="s">
        <v>23</v>
      </c>
      <c r="F175" t="s">
        <v>19</v>
      </c>
      <c r="G175">
        <v>11058</v>
      </c>
      <c r="H175" t="s">
        <v>20</v>
      </c>
      <c r="I175" t="s">
        <v>24</v>
      </c>
      <c r="J175" t="s">
        <v>21</v>
      </c>
      <c r="K175" t="s">
        <v>21</v>
      </c>
      <c r="L175" t="s">
        <v>24</v>
      </c>
      <c r="M175">
        <v>3</v>
      </c>
      <c r="N175">
        <v>236</v>
      </c>
      <c r="O175">
        <v>3.42</v>
      </c>
      <c r="P175">
        <v>76</v>
      </c>
      <c r="Q175">
        <v>89.9</v>
      </c>
      <c r="R175">
        <v>86</v>
      </c>
      <c r="S175">
        <v>493</v>
      </c>
      <c r="T175">
        <v>9.8000000000000007</v>
      </c>
      <c r="U175">
        <v>2</v>
      </c>
    </row>
    <row r="176" spans="4:21" x14ac:dyDescent="0.3">
      <c r="D176">
        <v>2644</v>
      </c>
      <c r="E176" t="s">
        <v>23</v>
      </c>
      <c r="F176" t="s">
        <v>19</v>
      </c>
      <c r="G176">
        <v>20296</v>
      </c>
      <c r="H176" t="s">
        <v>20</v>
      </c>
      <c r="I176" t="s">
        <v>24</v>
      </c>
      <c r="J176" t="s">
        <v>24</v>
      </c>
      <c r="K176" t="s">
        <v>24</v>
      </c>
      <c r="L176" t="s">
        <v>24</v>
      </c>
      <c r="M176">
        <v>0.5</v>
      </c>
      <c r="N176" s="10">
        <v>371</v>
      </c>
      <c r="O176">
        <v>3.85</v>
      </c>
      <c r="P176">
        <v>63</v>
      </c>
      <c r="Q176">
        <v>79.05</v>
      </c>
      <c r="R176" s="10">
        <v>123</v>
      </c>
      <c r="S176">
        <v>311</v>
      </c>
      <c r="T176">
        <v>9.6999999999999993</v>
      </c>
      <c r="U176">
        <v>1</v>
      </c>
    </row>
    <row r="177" spans="4:21" x14ac:dyDescent="0.3">
      <c r="D177">
        <v>2624</v>
      </c>
      <c r="E177" t="s">
        <v>23</v>
      </c>
      <c r="F177" t="s">
        <v>31</v>
      </c>
      <c r="G177">
        <v>19049</v>
      </c>
      <c r="H177" t="s">
        <v>20</v>
      </c>
      <c r="I177" t="s">
        <v>24</v>
      </c>
      <c r="J177" t="s">
        <v>24</v>
      </c>
      <c r="K177" t="s">
        <v>24</v>
      </c>
      <c r="L177" t="s">
        <v>24</v>
      </c>
      <c r="M177">
        <v>0.8</v>
      </c>
      <c r="N177">
        <v>283</v>
      </c>
      <c r="O177">
        <v>3.8</v>
      </c>
      <c r="P177">
        <v>152</v>
      </c>
      <c r="Q177">
        <v>108.5</v>
      </c>
      <c r="R177">
        <v>168</v>
      </c>
      <c r="S177">
        <v>340</v>
      </c>
      <c r="T177">
        <v>10.1</v>
      </c>
      <c r="U177">
        <v>3</v>
      </c>
    </row>
    <row r="178" spans="4:21" x14ac:dyDescent="0.3">
      <c r="D178">
        <v>1492</v>
      </c>
      <c r="E178" t="s">
        <v>18</v>
      </c>
      <c r="F178" t="s">
        <v>19</v>
      </c>
      <c r="G178">
        <v>15198</v>
      </c>
      <c r="H178" t="s">
        <v>20</v>
      </c>
      <c r="I178" t="s">
        <v>24</v>
      </c>
      <c r="J178" t="s">
        <v>21</v>
      </c>
      <c r="K178" t="s">
        <v>21</v>
      </c>
      <c r="L178" t="s">
        <v>24</v>
      </c>
      <c r="M178">
        <v>3.2</v>
      </c>
      <c r="N178" s="10">
        <v>371</v>
      </c>
      <c r="O178">
        <v>3.56</v>
      </c>
      <c r="P178">
        <v>77</v>
      </c>
      <c r="Q178">
        <v>139.5</v>
      </c>
      <c r="R178" s="10">
        <v>123</v>
      </c>
      <c r="S178">
        <v>149</v>
      </c>
      <c r="T178">
        <v>10.1</v>
      </c>
      <c r="U178">
        <v>4</v>
      </c>
    </row>
    <row r="179" spans="4:21" x14ac:dyDescent="0.3">
      <c r="D179">
        <v>2609</v>
      </c>
      <c r="E179" t="s">
        <v>23</v>
      </c>
      <c r="F179" t="s">
        <v>31</v>
      </c>
      <c r="G179">
        <v>20254</v>
      </c>
      <c r="H179" t="s">
        <v>20</v>
      </c>
      <c r="I179" t="s">
        <v>24</v>
      </c>
      <c r="J179" t="s">
        <v>24</v>
      </c>
      <c r="K179" t="s">
        <v>24</v>
      </c>
      <c r="L179" t="s">
        <v>24</v>
      </c>
      <c r="M179">
        <v>0.9</v>
      </c>
      <c r="N179">
        <v>258</v>
      </c>
      <c r="O179">
        <v>4.01</v>
      </c>
      <c r="P179">
        <v>49</v>
      </c>
      <c r="Q179">
        <v>43.4</v>
      </c>
      <c r="R179">
        <v>133</v>
      </c>
      <c r="S179">
        <v>277</v>
      </c>
      <c r="T179">
        <v>10.4</v>
      </c>
      <c r="U179">
        <v>2</v>
      </c>
    </row>
    <row r="180" spans="4:21" x14ac:dyDescent="0.3">
      <c r="D180">
        <v>2580</v>
      </c>
      <c r="E180" t="s">
        <v>23</v>
      </c>
      <c r="F180" t="s">
        <v>19</v>
      </c>
      <c r="G180">
        <v>25569</v>
      </c>
      <c r="H180" t="s">
        <v>20</v>
      </c>
      <c r="I180" t="s">
        <v>24</v>
      </c>
      <c r="J180" t="s">
        <v>24</v>
      </c>
      <c r="K180" t="s">
        <v>24</v>
      </c>
      <c r="L180" t="s">
        <v>24</v>
      </c>
      <c r="M180">
        <v>0.6</v>
      </c>
      <c r="N180" s="10">
        <v>371</v>
      </c>
      <c r="O180">
        <v>4.08</v>
      </c>
      <c r="P180">
        <v>51</v>
      </c>
      <c r="Q180">
        <v>74.400000000000006</v>
      </c>
      <c r="R180" s="10">
        <v>123</v>
      </c>
      <c r="S180">
        <v>325</v>
      </c>
      <c r="T180">
        <v>10.199999999999999</v>
      </c>
      <c r="U180">
        <v>4</v>
      </c>
    </row>
    <row r="181" spans="4:21" x14ac:dyDescent="0.3">
      <c r="D181">
        <v>2573</v>
      </c>
      <c r="E181" t="s">
        <v>23</v>
      </c>
      <c r="F181" t="s">
        <v>31</v>
      </c>
      <c r="G181">
        <v>16050</v>
      </c>
      <c r="H181" t="s">
        <v>20</v>
      </c>
      <c r="I181" t="s">
        <v>24</v>
      </c>
      <c r="J181" t="s">
        <v>21</v>
      </c>
      <c r="K181" t="s">
        <v>24</v>
      </c>
      <c r="L181" t="s">
        <v>24</v>
      </c>
      <c r="M181">
        <v>1.8</v>
      </c>
      <c r="N181">
        <v>396</v>
      </c>
      <c r="O181">
        <v>3.83</v>
      </c>
      <c r="P181">
        <v>39</v>
      </c>
      <c r="Q181">
        <v>102.3</v>
      </c>
      <c r="R181">
        <v>133</v>
      </c>
      <c r="S181">
        <v>278</v>
      </c>
      <c r="T181">
        <v>9.9</v>
      </c>
      <c r="U181">
        <v>4</v>
      </c>
    </row>
    <row r="182" spans="4:21" x14ac:dyDescent="0.3">
      <c r="D182">
        <v>2563</v>
      </c>
      <c r="E182" t="s">
        <v>23</v>
      </c>
      <c r="F182" t="s">
        <v>31</v>
      </c>
      <c r="G182">
        <v>15548</v>
      </c>
      <c r="H182" t="s">
        <v>20</v>
      </c>
      <c r="I182" t="s">
        <v>24</v>
      </c>
      <c r="J182" t="s">
        <v>24</v>
      </c>
      <c r="K182" t="s">
        <v>24</v>
      </c>
      <c r="L182" t="s">
        <v>24</v>
      </c>
      <c r="M182">
        <v>4.7</v>
      </c>
      <c r="N182">
        <v>478</v>
      </c>
      <c r="O182">
        <v>4.38</v>
      </c>
      <c r="P182">
        <v>44</v>
      </c>
      <c r="Q182">
        <v>237.15</v>
      </c>
      <c r="R182">
        <v>76</v>
      </c>
      <c r="S182">
        <v>175</v>
      </c>
      <c r="T182">
        <v>10.4</v>
      </c>
      <c r="U182">
        <v>3</v>
      </c>
    </row>
    <row r="183" spans="4:21" x14ac:dyDescent="0.3">
      <c r="D183">
        <v>2556</v>
      </c>
      <c r="E183" t="s">
        <v>23</v>
      </c>
      <c r="F183" t="s">
        <v>19</v>
      </c>
      <c r="G183">
        <v>16279</v>
      </c>
      <c r="H183" t="s">
        <v>20</v>
      </c>
      <c r="I183" t="s">
        <v>24</v>
      </c>
      <c r="J183" t="s">
        <v>21</v>
      </c>
      <c r="K183" t="s">
        <v>21</v>
      </c>
      <c r="L183" t="s">
        <v>24</v>
      </c>
      <c r="M183">
        <v>1.4</v>
      </c>
      <c r="N183">
        <v>248</v>
      </c>
      <c r="O183">
        <v>3.58</v>
      </c>
      <c r="P183">
        <v>63</v>
      </c>
      <c r="Q183">
        <v>75.95</v>
      </c>
      <c r="R183">
        <v>106</v>
      </c>
      <c r="S183">
        <v>79</v>
      </c>
      <c r="T183">
        <v>10.3</v>
      </c>
      <c r="U183">
        <v>4</v>
      </c>
    </row>
    <row r="184" spans="4:21" x14ac:dyDescent="0.3">
      <c r="D184">
        <v>2555</v>
      </c>
      <c r="E184" t="s">
        <v>23</v>
      </c>
      <c r="F184" t="s">
        <v>19</v>
      </c>
      <c r="G184">
        <v>20799</v>
      </c>
      <c r="H184" t="s">
        <v>20</v>
      </c>
      <c r="I184" t="s">
        <v>24</v>
      </c>
      <c r="J184" t="s">
        <v>21</v>
      </c>
      <c r="K184" t="s">
        <v>24</v>
      </c>
      <c r="L184" t="s">
        <v>24</v>
      </c>
      <c r="M184">
        <v>0.6</v>
      </c>
      <c r="N184" s="10">
        <v>371</v>
      </c>
      <c r="O184">
        <v>3.69</v>
      </c>
      <c r="P184">
        <v>161</v>
      </c>
      <c r="Q184">
        <v>26.35</v>
      </c>
      <c r="R184" s="10">
        <v>123</v>
      </c>
      <c r="S184">
        <v>539</v>
      </c>
      <c r="T184">
        <v>9.9</v>
      </c>
      <c r="U184">
        <v>2</v>
      </c>
    </row>
    <row r="185" spans="4:21" x14ac:dyDescent="0.3">
      <c r="D185">
        <v>2241</v>
      </c>
      <c r="E185" t="s">
        <v>30</v>
      </c>
      <c r="F185" t="s">
        <v>31</v>
      </c>
      <c r="G185">
        <v>14705</v>
      </c>
      <c r="H185" t="s">
        <v>20</v>
      </c>
      <c r="I185" t="s">
        <v>24</v>
      </c>
      <c r="J185" t="s">
        <v>24</v>
      </c>
      <c r="K185" t="s">
        <v>24</v>
      </c>
      <c r="L185" t="s">
        <v>24</v>
      </c>
      <c r="M185">
        <v>0.5</v>
      </c>
      <c r="N185">
        <v>201</v>
      </c>
      <c r="O185">
        <v>3.73</v>
      </c>
      <c r="P185">
        <v>44</v>
      </c>
      <c r="Q185">
        <v>54.25</v>
      </c>
      <c r="R185">
        <v>145</v>
      </c>
      <c r="S185">
        <v>445</v>
      </c>
      <c r="T185">
        <v>10.1</v>
      </c>
      <c r="U185">
        <v>2</v>
      </c>
    </row>
    <row r="186" spans="4:21" x14ac:dyDescent="0.3">
      <c r="D186">
        <v>974</v>
      </c>
      <c r="E186" t="s">
        <v>18</v>
      </c>
      <c r="F186" t="s">
        <v>31</v>
      </c>
      <c r="G186">
        <v>13736</v>
      </c>
      <c r="H186" t="s">
        <v>20</v>
      </c>
      <c r="I186" t="s">
        <v>24</v>
      </c>
      <c r="J186" t="s">
        <v>21</v>
      </c>
      <c r="K186" t="s">
        <v>24</v>
      </c>
      <c r="L186" t="s">
        <v>24</v>
      </c>
      <c r="M186">
        <v>11</v>
      </c>
      <c r="N186">
        <v>674</v>
      </c>
      <c r="O186">
        <v>3.55</v>
      </c>
      <c r="P186" s="19">
        <v>290</v>
      </c>
      <c r="Q186">
        <v>167.4</v>
      </c>
      <c r="R186">
        <v>140</v>
      </c>
      <c r="S186">
        <v>471</v>
      </c>
      <c r="T186">
        <v>9.8000000000000007</v>
      </c>
      <c r="U186">
        <v>3</v>
      </c>
    </row>
    <row r="187" spans="4:21" x14ac:dyDescent="0.3">
      <c r="D187">
        <v>2527</v>
      </c>
      <c r="E187" t="s">
        <v>23</v>
      </c>
      <c r="F187" t="s">
        <v>19</v>
      </c>
      <c r="G187">
        <v>17664</v>
      </c>
      <c r="H187" t="s">
        <v>20</v>
      </c>
      <c r="I187" t="s">
        <v>24</v>
      </c>
      <c r="J187" t="s">
        <v>24</v>
      </c>
      <c r="K187" t="s">
        <v>24</v>
      </c>
      <c r="L187" t="s">
        <v>24</v>
      </c>
      <c r="M187">
        <v>0.8</v>
      </c>
      <c r="N187">
        <v>256</v>
      </c>
      <c r="O187">
        <v>3.54</v>
      </c>
      <c r="P187">
        <v>42</v>
      </c>
      <c r="Q187">
        <v>74.400000000000006</v>
      </c>
      <c r="R187">
        <v>94</v>
      </c>
      <c r="S187">
        <v>192</v>
      </c>
      <c r="T187">
        <v>10.5</v>
      </c>
      <c r="U187">
        <v>3</v>
      </c>
    </row>
    <row r="188" spans="4:21" x14ac:dyDescent="0.3">
      <c r="D188">
        <v>1576</v>
      </c>
      <c r="E188" t="s">
        <v>18</v>
      </c>
      <c r="F188" t="s">
        <v>19</v>
      </c>
      <c r="G188">
        <v>25873</v>
      </c>
      <c r="H188" t="s">
        <v>20</v>
      </c>
      <c r="I188" t="s">
        <v>24</v>
      </c>
      <c r="J188" t="s">
        <v>24</v>
      </c>
      <c r="K188" t="s">
        <v>21</v>
      </c>
      <c r="L188" t="s">
        <v>27</v>
      </c>
      <c r="M188">
        <v>2</v>
      </c>
      <c r="N188">
        <v>225</v>
      </c>
      <c r="O188">
        <v>3.53</v>
      </c>
      <c r="P188">
        <v>51</v>
      </c>
      <c r="Q188">
        <v>69.75</v>
      </c>
      <c r="R188">
        <v>62</v>
      </c>
      <c r="S188">
        <v>200</v>
      </c>
      <c r="T188">
        <v>12.7</v>
      </c>
      <c r="U188">
        <v>3</v>
      </c>
    </row>
    <row r="189" spans="4:21" x14ac:dyDescent="0.3">
      <c r="D189">
        <v>733</v>
      </c>
      <c r="E189" t="s">
        <v>18</v>
      </c>
      <c r="F189" t="s">
        <v>31</v>
      </c>
      <c r="G189">
        <v>13073</v>
      </c>
      <c r="H189" t="s">
        <v>20</v>
      </c>
      <c r="I189" t="s">
        <v>24</v>
      </c>
      <c r="J189" t="s">
        <v>21</v>
      </c>
      <c r="K189" t="s">
        <v>24</v>
      </c>
      <c r="L189" t="s">
        <v>24</v>
      </c>
      <c r="M189">
        <v>14</v>
      </c>
      <c r="N189">
        <v>808</v>
      </c>
      <c r="O189">
        <v>3.43</v>
      </c>
      <c r="P189">
        <v>251</v>
      </c>
      <c r="Q189">
        <v>153.44999999999999</v>
      </c>
      <c r="R189">
        <v>137</v>
      </c>
      <c r="S189">
        <v>268</v>
      </c>
      <c r="T189">
        <v>11.5</v>
      </c>
      <c r="U189">
        <v>3</v>
      </c>
    </row>
    <row r="190" spans="4:21" x14ac:dyDescent="0.3">
      <c r="D190">
        <v>2332</v>
      </c>
      <c r="E190" t="s">
        <v>23</v>
      </c>
      <c r="F190" t="s">
        <v>19</v>
      </c>
      <c r="G190">
        <v>22873</v>
      </c>
      <c r="H190" t="s">
        <v>20</v>
      </c>
      <c r="I190" t="s">
        <v>24</v>
      </c>
      <c r="J190" t="s">
        <v>21</v>
      </c>
      <c r="K190" t="s">
        <v>24</v>
      </c>
      <c r="L190" t="s">
        <v>24</v>
      </c>
      <c r="M190">
        <v>0.7</v>
      </c>
      <c r="N190">
        <v>187</v>
      </c>
      <c r="O190">
        <v>3.48</v>
      </c>
      <c r="P190">
        <v>41</v>
      </c>
      <c r="Q190">
        <v>120.9</v>
      </c>
      <c r="R190">
        <v>98</v>
      </c>
      <c r="S190">
        <v>164</v>
      </c>
      <c r="T190">
        <v>11</v>
      </c>
      <c r="U190">
        <v>4</v>
      </c>
    </row>
    <row r="191" spans="4:21" x14ac:dyDescent="0.3">
      <c r="D191">
        <v>2255</v>
      </c>
      <c r="E191" t="s">
        <v>23</v>
      </c>
      <c r="F191" t="s">
        <v>19</v>
      </c>
      <c r="G191">
        <v>22642</v>
      </c>
      <c r="H191" t="s">
        <v>20</v>
      </c>
      <c r="I191" t="s">
        <v>24</v>
      </c>
      <c r="J191" t="s">
        <v>24</v>
      </c>
      <c r="K191" t="s">
        <v>24</v>
      </c>
      <c r="L191" t="s">
        <v>24</v>
      </c>
      <c r="M191">
        <v>0.6</v>
      </c>
      <c r="N191">
        <v>213</v>
      </c>
      <c r="O191">
        <v>4.07</v>
      </c>
      <c r="P191">
        <v>12</v>
      </c>
      <c r="Q191">
        <v>57.35</v>
      </c>
      <c r="R191">
        <v>68</v>
      </c>
      <c r="S191">
        <v>240</v>
      </c>
      <c r="T191">
        <v>11</v>
      </c>
      <c r="U191">
        <v>1</v>
      </c>
    </row>
    <row r="192" spans="4:21" x14ac:dyDescent="0.3">
      <c r="D192">
        <v>2171</v>
      </c>
      <c r="E192" t="s">
        <v>23</v>
      </c>
      <c r="F192" t="s">
        <v>19</v>
      </c>
      <c r="G192">
        <v>26580</v>
      </c>
      <c r="H192" t="s">
        <v>20</v>
      </c>
      <c r="I192" t="s">
        <v>24</v>
      </c>
      <c r="J192" t="s">
        <v>24</v>
      </c>
      <c r="K192" t="s">
        <v>24</v>
      </c>
      <c r="L192" t="s">
        <v>27</v>
      </c>
      <c r="M192">
        <v>0.6</v>
      </c>
      <c r="N192" s="10">
        <v>371</v>
      </c>
      <c r="O192">
        <v>3.33</v>
      </c>
      <c r="P192">
        <v>14</v>
      </c>
      <c r="Q192">
        <v>85.25</v>
      </c>
      <c r="R192" s="10">
        <v>123</v>
      </c>
      <c r="S192">
        <v>259</v>
      </c>
      <c r="T192">
        <v>10.1</v>
      </c>
      <c r="U192">
        <v>4</v>
      </c>
    </row>
    <row r="193" spans="4:21" x14ac:dyDescent="0.3">
      <c r="D193">
        <v>904</v>
      </c>
      <c r="E193" t="s">
        <v>18</v>
      </c>
      <c r="F193" t="s">
        <v>19</v>
      </c>
      <c r="G193">
        <v>22388</v>
      </c>
      <c r="H193" t="s">
        <v>20</v>
      </c>
      <c r="I193" t="s">
        <v>24</v>
      </c>
      <c r="J193" t="s">
        <v>21</v>
      </c>
      <c r="K193" t="s">
        <v>24</v>
      </c>
      <c r="L193" t="s">
        <v>24</v>
      </c>
      <c r="M193">
        <v>3.9</v>
      </c>
      <c r="N193">
        <v>396</v>
      </c>
      <c r="O193">
        <v>3.2</v>
      </c>
      <c r="P193">
        <v>58</v>
      </c>
      <c r="Q193">
        <v>153.44999999999999</v>
      </c>
      <c r="R193">
        <v>131</v>
      </c>
      <c r="S193">
        <v>156</v>
      </c>
      <c r="T193">
        <v>10</v>
      </c>
      <c r="U193">
        <v>4</v>
      </c>
    </row>
    <row r="194" spans="4:21" x14ac:dyDescent="0.3">
      <c r="D194">
        <v>2216</v>
      </c>
      <c r="E194" t="s">
        <v>23</v>
      </c>
      <c r="F194" t="s">
        <v>31</v>
      </c>
      <c r="G194">
        <v>19221</v>
      </c>
      <c r="H194" t="s">
        <v>20</v>
      </c>
      <c r="I194" t="s">
        <v>24</v>
      </c>
      <c r="J194" t="s">
        <v>21</v>
      </c>
      <c r="K194" t="s">
        <v>21</v>
      </c>
      <c r="L194" t="s">
        <v>24</v>
      </c>
      <c r="M194">
        <v>0.7</v>
      </c>
      <c r="N194">
        <v>252</v>
      </c>
      <c r="O194">
        <v>4.01</v>
      </c>
      <c r="P194">
        <v>11</v>
      </c>
      <c r="Q194">
        <v>72.849999999999994</v>
      </c>
      <c r="R194">
        <v>58</v>
      </c>
      <c r="S194">
        <v>309</v>
      </c>
      <c r="T194">
        <v>9.5</v>
      </c>
      <c r="U194">
        <v>2</v>
      </c>
    </row>
    <row r="195" spans="4:21" x14ac:dyDescent="0.3">
      <c r="D195">
        <v>2224</v>
      </c>
      <c r="E195" t="s">
        <v>23</v>
      </c>
      <c r="F195" t="s">
        <v>31</v>
      </c>
      <c r="G195">
        <v>18176</v>
      </c>
      <c r="H195" t="s">
        <v>26</v>
      </c>
      <c r="I195" t="s">
        <v>24</v>
      </c>
      <c r="J195" t="s">
        <v>21</v>
      </c>
      <c r="K195" t="s">
        <v>24</v>
      </c>
      <c r="L195" t="s">
        <v>24</v>
      </c>
      <c r="M195">
        <v>0.9</v>
      </c>
      <c r="N195">
        <v>346</v>
      </c>
      <c r="O195">
        <v>3.37</v>
      </c>
      <c r="P195">
        <v>81</v>
      </c>
      <c r="Q195">
        <v>122.45</v>
      </c>
      <c r="R195">
        <v>90</v>
      </c>
      <c r="S195">
        <v>298</v>
      </c>
      <c r="T195">
        <v>10</v>
      </c>
      <c r="U195">
        <v>2</v>
      </c>
    </row>
    <row r="196" spans="4:21" x14ac:dyDescent="0.3">
      <c r="D196">
        <v>2195</v>
      </c>
      <c r="E196" t="s">
        <v>23</v>
      </c>
      <c r="F196" t="s">
        <v>31</v>
      </c>
      <c r="G196">
        <v>19327</v>
      </c>
      <c r="H196" t="s">
        <v>20</v>
      </c>
      <c r="I196" t="s">
        <v>24</v>
      </c>
      <c r="J196" t="s">
        <v>24</v>
      </c>
      <c r="K196" t="s">
        <v>24</v>
      </c>
      <c r="L196" t="s">
        <v>24</v>
      </c>
      <c r="M196">
        <v>1.3</v>
      </c>
      <c r="N196" s="10">
        <v>371</v>
      </c>
      <c r="O196">
        <v>3.76</v>
      </c>
      <c r="P196">
        <v>27</v>
      </c>
      <c r="Q196">
        <v>100.75</v>
      </c>
      <c r="R196" s="10">
        <v>123</v>
      </c>
      <c r="S196">
        <v>114</v>
      </c>
      <c r="T196">
        <v>10.3</v>
      </c>
      <c r="U196">
        <v>3</v>
      </c>
    </row>
    <row r="197" spans="4:21" x14ac:dyDescent="0.3">
      <c r="D197">
        <v>2176</v>
      </c>
      <c r="E197" t="s">
        <v>23</v>
      </c>
      <c r="F197" t="s">
        <v>31</v>
      </c>
      <c r="G197">
        <v>17263</v>
      </c>
      <c r="H197" t="s">
        <v>20</v>
      </c>
      <c r="I197" t="s">
        <v>24</v>
      </c>
      <c r="J197" t="s">
        <v>24</v>
      </c>
      <c r="K197" t="s">
        <v>24</v>
      </c>
      <c r="L197" t="s">
        <v>24</v>
      </c>
      <c r="M197">
        <v>1.2</v>
      </c>
      <c r="N197">
        <v>232</v>
      </c>
      <c r="O197">
        <v>3.98</v>
      </c>
      <c r="P197">
        <v>11</v>
      </c>
      <c r="Q197">
        <v>100.75</v>
      </c>
      <c r="R197">
        <v>99</v>
      </c>
      <c r="S197">
        <v>223</v>
      </c>
      <c r="T197">
        <v>9.9</v>
      </c>
      <c r="U197">
        <v>3</v>
      </c>
    </row>
    <row r="198" spans="4:21" x14ac:dyDescent="0.3">
      <c r="D198">
        <v>2178</v>
      </c>
      <c r="E198" t="s">
        <v>23</v>
      </c>
      <c r="F198" t="s">
        <v>19</v>
      </c>
      <c r="G198">
        <v>18337</v>
      </c>
      <c r="H198" t="s">
        <v>20</v>
      </c>
      <c r="I198" t="s">
        <v>24</v>
      </c>
      <c r="J198" t="s">
        <v>24</v>
      </c>
      <c r="K198" t="s">
        <v>21</v>
      </c>
      <c r="L198" t="s">
        <v>24</v>
      </c>
      <c r="M198">
        <v>0.5</v>
      </c>
      <c r="N198">
        <v>400</v>
      </c>
      <c r="O198">
        <v>3.4</v>
      </c>
      <c r="P198">
        <v>9</v>
      </c>
      <c r="Q198">
        <v>96.1</v>
      </c>
      <c r="R198">
        <v>55</v>
      </c>
      <c r="S198">
        <v>356</v>
      </c>
      <c r="T198">
        <v>10.199999999999999</v>
      </c>
      <c r="U198">
        <v>3</v>
      </c>
    </row>
    <row r="199" spans="4:21" x14ac:dyDescent="0.3">
      <c r="D199">
        <v>1786</v>
      </c>
      <c r="E199" t="s">
        <v>18</v>
      </c>
      <c r="F199" t="s">
        <v>31</v>
      </c>
      <c r="G199">
        <v>25329</v>
      </c>
      <c r="H199" t="s">
        <v>20</v>
      </c>
      <c r="I199" t="s">
        <v>24</v>
      </c>
      <c r="J199" t="s">
        <v>21</v>
      </c>
      <c r="K199" t="s">
        <v>24</v>
      </c>
      <c r="L199" t="s">
        <v>24</v>
      </c>
      <c r="M199">
        <v>0.9</v>
      </c>
      <c r="N199">
        <v>404</v>
      </c>
      <c r="O199">
        <v>3.43</v>
      </c>
      <c r="P199">
        <v>34</v>
      </c>
      <c r="Q199">
        <v>79.05</v>
      </c>
      <c r="R199">
        <v>224</v>
      </c>
      <c r="S199">
        <v>236</v>
      </c>
      <c r="T199">
        <v>9.9</v>
      </c>
      <c r="U199">
        <v>3</v>
      </c>
    </row>
    <row r="200" spans="4:21" x14ac:dyDescent="0.3">
      <c r="D200">
        <v>1080</v>
      </c>
      <c r="E200" t="s">
        <v>18</v>
      </c>
      <c r="F200" t="s">
        <v>31</v>
      </c>
      <c r="G200">
        <v>15037</v>
      </c>
      <c r="H200" t="s">
        <v>20</v>
      </c>
      <c r="I200" t="s">
        <v>24</v>
      </c>
      <c r="J200" t="s">
        <v>24</v>
      </c>
      <c r="K200" t="s">
        <v>24</v>
      </c>
      <c r="L200" t="s">
        <v>24</v>
      </c>
      <c r="M200">
        <v>5.9</v>
      </c>
      <c r="N200">
        <v>1276</v>
      </c>
      <c r="O200">
        <v>3.85</v>
      </c>
      <c r="P200">
        <v>141</v>
      </c>
      <c r="Q200">
        <v>203.05</v>
      </c>
      <c r="R200">
        <v>157</v>
      </c>
      <c r="S200">
        <v>216</v>
      </c>
      <c r="T200">
        <v>10.7</v>
      </c>
      <c r="U200">
        <v>3</v>
      </c>
    </row>
    <row r="201" spans="4:21" x14ac:dyDescent="0.3">
      <c r="D201">
        <v>2168</v>
      </c>
      <c r="E201" t="s">
        <v>23</v>
      </c>
      <c r="F201" t="s">
        <v>19</v>
      </c>
      <c r="G201">
        <v>21610</v>
      </c>
      <c r="H201" t="s">
        <v>20</v>
      </c>
      <c r="I201" t="s">
        <v>24</v>
      </c>
      <c r="J201" t="s">
        <v>24</v>
      </c>
      <c r="K201" t="s">
        <v>24</v>
      </c>
      <c r="L201" t="s">
        <v>24</v>
      </c>
      <c r="M201">
        <v>0.5</v>
      </c>
      <c r="N201" s="10">
        <v>371</v>
      </c>
      <c r="O201">
        <v>3.68</v>
      </c>
      <c r="P201">
        <v>20</v>
      </c>
      <c r="Q201">
        <v>55.8</v>
      </c>
      <c r="R201" s="10">
        <v>123</v>
      </c>
      <c r="S201">
        <v>146</v>
      </c>
      <c r="T201">
        <v>10.4</v>
      </c>
      <c r="U201">
        <v>3</v>
      </c>
    </row>
    <row r="202" spans="4:21" x14ac:dyDescent="0.3">
      <c r="D202">
        <v>790</v>
      </c>
      <c r="E202" t="s">
        <v>18</v>
      </c>
      <c r="F202" t="s">
        <v>31</v>
      </c>
      <c r="G202">
        <v>13178</v>
      </c>
      <c r="H202" t="s">
        <v>20</v>
      </c>
      <c r="I202" t="s">
        <v>24</v>
      </c>
      <c r="J202" t="s">
        <v>21</v>
      </c>
      <c r="K202" t="s">
        <v>24</v>
      </c>
      <c r="L202" t="s">
        <v>24</v>
      </c>
      <c r="M202">
        <v>11.4</v>
      </c>
      <c r="N202">
        <v>608</v>
      </c>
      <c r="O202">
        <v>3.31</v>
      </c>
      <c r="P202">
        <v>65</v>
      </c>
      <c r="Q202">
        <v>151.9</v>
      </c>
      <c r="R202">
        <v>210</v>
      </c>
      <c r="S202">
        <v>298</v>
      </c>
      <c r="T202">
        <v>10.8</v>
      </c>
      <c r="U202">
        <v>4</v>
      </c>
    </row>
    <row r="203" spans="4:21" x14ac:dyDescent="0.3">
      <c r="D203">
        <v>2170</v>
      </c>
      <c r="E203" t="s">
        <v>23</v>
      </c>
      <c r="F203" t="s">
        <v>19</v>
      </c>
      <c r="G203">
        <v>12636</v>
      </c>
      <c r="H203" t="s">
        <v>20</v>
      </c>
      <c r="I203" t="s">
        <v>24</v>
      </c>
      <c r="J203" t="s">
        <v>24</v>
      </c>
      <c r="K203" t="s">
        <v>24</v>
      </c>
      <c r="L203" t="s">
        <v>24</v>
      </c>
      <c r="M203">
        <v>0.5</v>
      </c>
      <c r="N203" s="10">
        <v>371</v>
      </c>
      <c r="O203">
        <v>3.89</v>
      </c>
      <c r="P203">
        <v>29</v>
      </c>
      <c r="Q203">
        <v>66.650000000000006</v>
      </c>
      <c r="R203" s="10">
        <v>123</v>
      </c>
      <c r="S203">
        <v>423</v>
      </c>
      <c r="T203">
        <v>10.1</v>
      </c>
      <c r="U203">
        <v>1</v>
      </c>
    </row>
    <row r="204" spans="4:21" x14ac:dyDescent="0.3">
      <c r="D204">
        <v>2157</v>
      </c>
      <c r="E204" t="s">
        <v>23</v>
      </c>
      <c r="F204" t="s">
        <v>31</v>
      </c>
      <c r="G204">
        <v>15601</v>
      </c>
      <c r="H204" t="s">
        <v>20</v>
      </c>
      <c r="I204" t="s">
        <v>24</v>
      </c>
      <c r="J204" t="s">
        <v>24</v>
      </c>
      <c r="K204" t="s">
        <v>24</v>
      </c>
      <c r="L204" t="s">
        <v>24</v>
      </c>
      <c r="M204">
        <v>1.6</v>
      </c>
      <c r="N204">
        <v>215</v>
      </c>
      <c r="O204">
        <v>4.17</v>
      </c>
      <c r="P204">
        <v>67</v>
      </c>
      <c r="Q204">
        <v>134.85</v>
      </c>
      <c r="R204">
        <v>85</v>
      </c>
      <c r="S204">
        <v>176</v>
      </c>
      <c r="T204">
        <v>9.6</v>
      </c>
      <c r="U204">
        <v>3</v>
      </c>
    </row>
    <row r="205" spans="4:21" x14ac:dyDescent="0.3">
      <c r="D205">
        <v>1235</v>
      </c>
      <c r="E205" t="s">
        <v>18</v>
      </c>
      <c r="F205" t="s">
        <v>19</v>
      </c>
      <c r="G205">
        <v>23241</v>
      </c>
      <c r="H205" t="s">
        <v>20</v>
      </c>
      <c r="I205" t="s">
        <v>24</v>
      </c>
      <c r="J205" t="s">
        <v>24</v>
      </c>
      <c r="K205" t="s">
        <v>21</v>
      </c>
      <c r="L205" t="s">
        <v>24</v>
      </c>
      <c r="M205">
        <v>3.8</v>
      </c>
      <c r="N205">
        <v>426</v>
      </c>
      <c r="O205">
        <v>3.22</v>
      </c>
      <c r="P205">
        <v>96</v>
      </c>
      <c r="Q205">
        <v>210.8</v>
      </c>
      <c r="R205">
        <v>113</v>
      </c>
      <c r="S205">
        <v>228</v>
      </c>
      <c r="T205">
        <v>10.6</v>
      </c>
      <c r="U205">
        <v>2</v>
      </c>
    </row>
    <row r="206" spans="4:21" x14ac:dyDescent="0.3">
      <c r="D206">
        <v>2050</v>
      </c>
      <c r="E206" t="s">
        <v>23</v>
      </c>
      <c r="F206" t="s">
        <v>31</v>
      </c>
      <c r="G206">
        <v>20684</v>
      </c>
      <c r="H206" t="s">
        <v>20</v>
      </c>
      <c r="I206" t="s">
        <v>24</v>
      </c>
      <c r="J206" t="s">
        <v>21</v>
      </c>
      <c r="K206" t="s">
        <v>24</v>
      </c>
      <c r="L206" t="s">
        <v>24</v>
      </c>
      <c r="M206">
        <v>0.9</v>
      </c>
      <c r="N206">
        <v>360</v>
      </c>
      <c r="O206">
        <v>3.65</v>
      </c>
      <c r="P206">
        <v>72</v>
      </c>
      <c r="Q206">
        <v>94.55</v>
      </c>
      <c r="R206">
        <v>154</v>
      </c>
      <c r="S206">
        <v>269</v>
      </c>
      <c r="T206">
        <v>9.6999999999999993</v>
      </c>
      <c r="U206">
        <v>4</v>
      </c>
    </row>
    <row r="207" spans="4:21" x14ac:dyDescent="0.3">
      <c r="D207">
        <v>597</v>
      </c>
      <c r="E207" t="s">
        <v>18</v>
      </c>
      <c r="F207" t="s">
        <v>31</v>
      </c>
      <c r="G207">
        <v>16898</v>
      </c>
      <c r="H207" t="s">
        <v>20</v>
      </c>
      <c r="I207" t="s">
        <v>24</v>
      </c>
      <c r="J207" t="s">
        <v>21</v>
      </c>
      <c r="K207" t="s">
        <v>24</v>
      </c>
      <c r="L207" t="s">
        <v>24</v>
      </c>
      <c r="M207">
        <v>4.5</v>
      </c>
      <c r="N207">
        <v>372</v>
      </c>
      <c r="O207">
        <v>3.38</v>
      </c>
      <c r="P207">
        <v>227</v>
      </c>
      <c r="Q207">
        <v>167.4</v>
      </c>
      <c r="R207">
        <v>135</v>
      </c>
      <c r="S207">
        <v>240</v>
      </c>
      <c r="T207">
        <v>12.4</v>
      </c>
      <c r="U207">
        <v>3</v>
      </c>
    </row>
    <row r="208" spans="4:21" x14ac:dyDescent="0.3">
      <c r="D208">
        <v>334</v>
      </c>
      <c r="E208" t="s">
        <v>18</v>
      </c>
      <c r="F208" t="s">
        <v>19</v>
      </c>
      <c r="G208">
        <v>22369</v>
      </c>
      <c r="H208" t="s">
        <v>20</v>
      </c>
      <c r="I208" t="s">
        <v>21</v>
      </c>
      <c r="J208" t="s">
        <v>21</v>
      </c>
      <c r="K208" t="s">
        <v>24</v>
      </c>
      <c r="L208" t="s">
        <v>21</v>
      </c>
      <c r="M208">
        <v>14.1</v>
      </c>
      <c r="N208">
        <v>448</v>
      </c>
      <c r="O208">
        <v>2.4300000000000002</v>
      </c>
      <c r="P208">
        <v>123</v>
      </c>
      <c r="Q208">
        <v>134</v>
      </c>
      <c r="R208">
        <v>155</v>
      </c>
      <c r="S208">
        <v>210</v>
      </c>
      <c r="T208">
        <v>11</v>
      </c>
      <c r="U208">
        <v>4</v>
      </c>
    </row>
    <row r="209" spans="3:21" x14ac:dyDescent="0.3">
      <c r="D209">
        <v>1702</v>
      </c>
      <c r="E209" t="s">
        <v>23</v>
      </c>
      <c r="F209" t="s">
        <v>19</v>
      </c>
      <c r="G209">
        <v>18806</v>
      </c>
      <c r="H209" t="s">
        <v>20</v>
      </c>
      <c r="I209" t="s">
        <v>24</v>
      </c>
      <c r="J209" t="s">
        <v>24</v>
      </c>
      <c r="K209" t="s">
        <v>24</v>
      </c>
      <c r="L209" t="s">
        <v>24</v>
      </c>
      <c r="M209">
        <v>1.1000000000000001</v>
      </c>
      <c r="N209">
        <v>414</v>
      </c>
      <c r="O209">
        <v>3.44</v>
      </c>
      <c r="P209">
        <v>80</v>
      </c>
      <c r="Q209">
        <v>99</v>
      </c>
      <c r="R209">
        <v>55</v>
      </c>
      <c r="S209">
        <v>271</v>
      </c>
      <c r="T209">
        <v>9.6</v>
      </c>
      <c r="U209">
        <v>1</v>
      </c>
    </row>
    <row r="210" spans="3:21" x14ac:dyDescent="0.3">
      <c r="D210">
        <v>1525</v>
      </c>
      <c r="E210" t="s">
        <v>23</v>
      </c>
      <c r="F210" t="s">
        <v>19</v>
      </c>
      <c r="G210">
        <v>14025</v>
      </c>
      <c r="H210" t="s">
        <v>20</v>
      </c>
      <c r="I210" t="s">
        <v>24</v>
      </c>
      <c r="J210" t="s">
        <v>24</v>
      </c>
      <c r="K210" t="s">
        <v>24</v>
      </c>
      <c r="L210" t="s">
        <v>24</v>
      </c>
      <c r="M210">
        <v>0.5</v>
      </c>
      <c r="N210">
        <v>226</v>
      </c>
      <c r="O210">
        <v>2.93</v>
      </c>
      <c r="P210">
        <v>22</v>
      </c>
      <c r="Q210">
        <v>58</v>
      </c>
      <c r="R210">
        <v>85</v>
      </c>
      <c r="S210">
        <v>153</v>
      </c>
      <c r="T210">
        <v>9.8000000000000007</v>
      </c>
      <c r="U210">
        <v>1</v>
      </c>
    </row>
    <row r="211" spans="3:21" x14ac:dyDescent="0.3">
      <c r="D211">
        <v>1401</v>
      </c>
      <c r="E211" t="s">
        <v>23</v>
      </c>
      <c r="F211" t="s">
        <v>19</v>
      </c>
      <c r="G211">
        <v>16929</v>
      </c>
      <c r="H211" t="s">
        <v>20</v>
      </c>
      <c r="I211" t="s">
        <v>24</v>
      </c>
      <c r="J211" t="s">
        <v>24</v>
      </c>
      <c r="K211" t="s">
        <v>24</v>
      </c>
      <c r="L211" t="s">
        <v>24</v>
      </c>
      <c r="M211">
        <v>0.8</v>
      </c>
      <c r="N211">
        <v>253</v>
      </c>
      <c r="O211">
        <v>3.48</v>
      </c>
      <c r="P211">
        <v>65</v>
      </c>
      <c r="Q211">
        <v>57</v>
      </c>
      <c r="R211">
        <v>80</v>
      </c>
      <c r="S211">
        <v>252</v>
      </c>
      <c r="T211">
        <v>10</v>
      </c>
      <c r="U211">
        <v>1</v>
      </c>
    </row>
    <row r="214" spans="3:21" x14ac:dyDescent="0.3">
      <c r="C214" t="s">
        <v>47</v>
      </c>
      <c r="D214" s="3">
        <f>AVERAGE(D$3:D$211)</f>
        <v>2269.22009569378</v>
      </c>
      <c r="E214">
        <v>2.0861244019138754</v>
      </c>
      <c r="F214">
        <v>1.4976076555023923</v>
      </c>
      <c r="G214">
        <v>50.148325358851672</v>
      </c>
      <c r="H214">
        <v>1.1339712918660287</v>
      </c>
      <c r="I214">
        <v>1.0813397129186604</v>
      </c>
      <c r="J214">
        <v>1.5071770334928229</v>
      </c>
      <c r="K214">
        <v>1.2918660287081341</v>
      </c>
      <c r="L214">
        <v>1.2679425837320575</v>
      </c>
      <c r="M214">
        <v>3.280861244019138</v>
      </c>
      <c r="N214">
        <v>351.74641148325361</v>
      </c>
      <c r="O214">
        <v>3.5641626794258405</v>
      </c>
      <c r="P214">
        <v>93.559808612440193</v>
      </c>
      <c r="Q214">
        <v>119.86569377990436</v>
      </c>
      <c r="R214">
        <v>123.20095693779905</v>
      </c>
      <c r="S214">
        <v>262.4736842105263</v>
      </c>
      <c r="T214">
        <v>10.894736842105264</v>
      </c>
    </row>
    <row r="216" spans="3:21" ht="15.6" x14ac:dyDescent="0.3">
      <c r="C216" t="s">
        <v>48</v>
      </c>
      <c r="D216" s="4">
        <f>STDEV(D$3:D$211)</f>
        <v>1237.3502898478384</v>
      </c>
      <c r="E216">
        <v>0.9816826233112711</v>
      </c>
      <c r="F216">
        <v>0.5011947448335865</v>
      </c>
      <c r="G216">
        <v>9.9692801978309067</v>
      </c>
      <c r="H216">
        <v>0.3414392883565382</v>
      </c>
      <c r="I216">
        <v>0.27401243023796773</v>
      </c>
      <c r="J216">
        <v>0.50114884577722996</v>
      </c>
      <c r="K216">
        <v>0.45571252456162098</v>
      </c>
      <c r="L216">
        <v>0.60046142237819589</v>
      </c>
      <c r="M216">
        <v>4.3495266348190551</v>
      </c>
      <c r="N216">
        <v>161.25668679946702</v>
      </c>
      <c r="O216">
        <v>0.41103924614285764</v>
      </c>
      <c r="P216">
        <v>72.782391097087128</v>
      </c>
      <c r="Q216">
        <v>51.013132562775496</v>
      </c>
      <c r="R216">
        <v>54.331141012270777</v>
      </c>
      <c r="S216">
        <v>101.9340403545153</v>
      </c>
      <c r="T216">
        <v>1.0270481659701614</v>
      </c>
    </row>
    <row r="219" spans="3:21" x14ac:dyDescent="0.3">
      <c r="C219" t="s">
        <v>49</v>
      </c>
      <c r="D219">
        <f>MIN(D$3:D$211)</f>
        <v>51</v>
      </c>
      <c r="E219">
        <v>1</v>
      </c>
      <c r="F219">
        <v>1</v>
      </c>
      <c r="G219">
        <v>28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0.3</v>
      </c>
      <c r="N219">
        <v>120</v>
      </c>
      <c r="O219">
        <v>2.27</v>
      </c>
      <c r="P219">
        <v>4</v>
      </c>
      <c r="Q219">
        <v>26.35</v>
      </c>
      <c r="R219">
        <v>46</v>
      </c>
      <c r="S219">
        <v>70</v>
      </c>
      <c r="T219">
        <v>9</v>
      </c>
      <c r="U219">
        <f>MIN(U$3:U$211)</f>
        <v>1</v>
      </c>
    </row>
    <row r="221" spans="3:21" x14ac:dyDescent="0.3">
      <c r="C221" t="s">
        <v>50</v>
      </c>
      <c r="D221" s="3">
        <f>QUARTILE(D$3:D$211,1)</f>
        <v>1212</v>
      </c>
      <c r="E221">
        <v>1</v>
      </c>
      <c r="F221">
        <v>1</v>
      </c>
      <c r="G221">
        <v>43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0.8</v>
      </c>
      <c r="N221">
        <v>252</v>
      </c>
      <c r="O221">
        <v>3.34</v>
      </c>
      <c r="P221">
        <v>41</v>
      </c>
      <c r="Q221">
        <v>77.5</v>
      </c>
      <c r="R221">
        <v>86</v>
      </c>
      <c r="S221">
        <v>190</v>
      </c>
      <c r="T221">
        <v>10.1</v>
      </c>
      <c r="U221">
        <f>QUARTILE(U$3:U$211,1)</f>
        <v>2</v>
      </c>
    </row>
    <row r="223" spans="3:21" x14ac:dyDescent="0.3">
      <c r="C223" t="s">
        <v>51</v>
      </c>
      <c r="D223" s="3">
        <f>MEDIAN(D$3:D$211)</f>
        <v>2400</v>
      </c>
      <c r="E223">
        <v>3</v>
      </c>
      <c r="F223">
        <v>1</v>
      </c>
      <c r="G223">
        <v>50</v>
      </c>
      <c r="H223">
        <v>1</v>
      </c>
      <c r="I223">
        <v>1</v>
      </c>
      <c r="J223">
        <v>2</v>
      </c>
      <c r="K223">
        <v>1</v>
      </c>
      <c r="L223">
        <v>1</v>
      </c>
      <c r="M223">
        <v>1.3</v>
      </c>
      <c r="N223">
        <v>322</v>
      </c>
      <c r="O223">
        <v>3.57</v>
      </c>
      <c r="P223">
        <v>73</v>
      </c>
      <c r="Q223">
        <v>113.15</v>
      </c>
      <c r="R223">
        <v>118</v>
      </c>
      <c r="S223">
        <v>254</v>
      </c>
      <c r="T223">
        <v>10.7</v>
      </c>
      <c r="U223">
        <f>MEDIAN(U$3:U$211)</f>
        <v>3</v>
      </c>
    </row>
    <row r="225" spans="3:21" x14ac:dyDescent="0.3">
      <c r="C225" t="s">
        <v>52</v>
      </c>
      <c r="D225">
        <f>QUARTILE(D$3:D$211,3)</f>
        <v>3170</v>
      </c>
      <c r="E225">
        <v>3</v>
      </c>
      <c r="F225">
        <v>2</v>
      </c>
      <c r="G225">
        <v>56</v>
      </c>
      <c r="H225">
        <v>1</v>
      </c>
      <c r="I225">
        <v>1</v>
      </c>
      <c r="J225">
        <v>2</v>
      </c>
      <c r="K225">
        <v>2</v>
      </c>
      <c r="L225">
        <v>1</v>
      </c>
      <c r="M225">
        <v>3.4</v>
      </c>
      <c r="N225">
        <v>395</v>
      </c>
      <c r="O225">
        <v>3.85</v>
      </c>
      <c r="P225">
        <v>129</v>
      </c>
      <c r="Q225">
        <v>151.9</v>
      </c>
      <c r="R225">
        <v>143</v>
      </c>
      <c r="S225">
        <v>330</v>
      </c>
      <c r="T225">
        <v>11.4</v>
      </c>
      <c r="U225">
        <f>QUARTILE(U$3:U$211,3)</f>
        <v>4</v>
      </c>
    </row>
    <row r="227" spans="3:21" x14ac:dyDescent="0.3">
      <c r="C227" t="s">
        <v>53</v>
      </c>
      <c r="D227">
        <f>MAX(D$3:D$211)</f>
        <v>4556</v>
      </c>
      <c r="E227">
        <v>3</v>
      </c>
      <c r="F227">
        <v>2</v>
      </c>
      <c r="G227">
        <v>76</v>
      </c>
      <c r="H227">
        <v>2</v>
      </c>
      <c r="I227">
        <v>2</v>
      </c>
      <c r="J227">
        <v>2</v>
      </c>
      <c r="K227">
        <v>2</v>
      </c>
      <c r="L227">
        <v>3</v>
      </c>
      <c r="M227">
        <v>17.399999999999999</v>
      </c>
      <c r="N227">
        <v>1276</v>
      </c>
      <c r="O227">
        <v>4.6399999999999997</v>
      </c>
      <c r="P227">
        <v>290</v>
      </c>
      <c r="Q227">
        <v>246.45</v>
      </c>
      <c r="R227">
        <v>319</v>
      </c>
      <c r="S227">
        <v>563</v>
      </c>
      <c r="T227">
        <v>17.100000000000001</v>
      </c>
      <c r="U227">
        <f>MAX(U$3:U$211)</f>
        <v>4</v>
      </c>
    </row>
    <row r="229" spans="3:21" x14ac:dyDescent="0.3">
      <c r="C229" t="s">
        <v>54</v>
      </c>
      <c r="D229">
        <f>D227-D219</f>
        <v>4505</v>
      </c>
      <c r="E229">
        <v>2</v>
      </c>
      <c r="F229">
        <v>1</v>
      </c>
      <c r="G229">
        <v>48</v>
      </c>
      <c r="H229">
        <v>1</v>
      </c>
      <c r="I229">
        <v>1</v>
      </c>
      <c r="J229">
        <v>1</v>
      </c>
      <c r="K229">
        <v>1</v>
      </c>
      <c r="L229">
        <v>2</v>
      </c>
      <c r="M229">
        <v>17.099999999999998</v>
      </c>
      <c r="N229">
        <v>1156</v>
      </c>
      <c r="O229">
        <v>2.3699999999999997</v>
      </c>
      <c r="P229">
        <v>286</v>
      </c>
      <c r="Q229">
        <v>220.1</v>
      </c>
      <c r="R229">
        <v>273</v>
      </c>
      <c r="S229">
        <v>493</v>
      </c>
      <c r="T229">
        <v>8.1000000000000014</v>
      </c>
      <c r="U229">
        <f>U227-U219</f>
        <v>3</v>
      </c>
    </row>
    <row r="231" spans="3:21" x14ac:dyDescent="0.3">
      <c r="C231" t="s">
        <v>55</v>
      </c>
      <c r="D231">
        <f>D221-D225</f>
        <v>-1958</v>
      </c>
      <c r="E231">
        <v>-2</v>
      </c>
      <c r="F231">
        <v>-1</v>
      </c>
      <c r="G231">
        <v>-13</v>
      </c>
      <c r="H231">
        <v>0</v>
      </c>
      <c r="I231">
        <v>0</v>
      </c>
      <c r="J231">
        <v>-1</v>
      </c>
      <c r="K231">
        <v>-1</v>
      </c>
      <c r="L231">
        <v>0</v>
      </c>
      <c r="M231">
        <v>-2.5999999999999996</v>
      </c>
      <c r="N231">
        <v>-143</v>
      </c>
      <c r="O231">
        <v>-0.51000000000000023</v>
      </c>
      <c r="P231">
        <v>-88</v>
      </c>
      <c r="Q231">
        <v>-74.400000000000006</v>
      </c>
      <c r="R231">
        <v>-57</v>
      </c>
      <c r="S231">
        <v>-140</v>
      </c>
      <c r="T231">
        <v>-1.3000000000000007</v>
      </c>
      <c r="U231">
        <f>U221-U225</f>
        <v>-2</v>
      </c>
    </row>
    <row r="233" spans="3:21" x14ac:dyDescent="0.3">
      <c r="C233" t="s">
        <v>56</v>
      </c>
      <c r="D233">
        <f>MODE(D$3:D$211)</f>
        <v>3445</v>
      </c>
      <c r="E233">
        <v>3</v>
      </c>
      <c r="F233">
        <v>1</v>
      </c>
      <c r="G233">
        <v>52</v>
      </c>
      <c r="H233">
        <v>1</v>
      </c>
      <c r="I233">
        <v>1</v>
      </c>
      <c r="J233">
        <v>2</v>
      </c>
      <c r="K233">
        <v>1</v>
      </c>
      <c r="L233">
        <v>1</v>
      </c>
      <c r="M233">
        <v>0.6</v>
      </c>
      <c r="N233">
        <v>371</v>
      </c>
      <c r="O233">
        <v>3.6</v>
      </c>
      <c r="P233">
        <v>58</v>
      </c>
      <c r="Q233">
        <v>71.3</v>
      </c>
      <c r="R233">
        <v>123</v>
      </c>
      <c r="S233">
        <v>213</v>
      </c>
      <c r="T233">
        <v>11</v>
      </c>
      <c r="U233">
        <f>MODE(U$3:U$211)</f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H232"/>
  <sheetViews>
    <sheetView workbookViewId="0">
      <selection activeCell="G24" sqref="G24"/>
    </sheetView>
  </sheetViews>
  <sheetFormatPr defaultRowHeight="14.4" x14ac:dyDescent="0.3"/>
  <cols>
    <col min="4" max="4" width="13.88671875" customWidth="1"/>
    <col min="7" max="7" width="19.6640625" customWidth="1"/>
    <col min="8" max="8" width="12.44140625" customWidth="1"/>
  </cols>
  <sheetData>
    <row r="1" spans="4:8" x14ac:dyDescent="0.3">
      <c r="D1">
        <v>19</v>
      </c>
    </row>
    <row r="2" spans="4:8" x14ac:dyDescent="0.3">
      <c r="D2" t="s">
        <v>57</v>
      </c>
    </row>
    <row r="3" spans="4:8" x14ac:dyDescent="0.3">
      <c r="D3">
        <v>1</v>
      </c>
    </row>
    <row r="4" spans="4:8" x14ac:dyDescent="0.3">
      <c r="D4">
        <v>1</v>
      </c>
    </row>
    <row r="5" spans="4:8" x14ac:dyDescent="0.3">
      <c r="D5">
        <v>1</v>
      </c>
    </row>
    <row r="6" spans="4:8" x14ac:dyDescent="0.3">
      <c r="D6">
        <v>1</v>
      </c>
    </row>
    <row r="7" spans="4:8" x14ac:dyDescent="0.3">
      <c r="D7">
        <v>1</v>
      </c>
      <c r="G7" t="s">
        <v>58</v>
      </c>
      <c r="H7" t="s">
        <v>59</v>
      </c>
    </row>
    <row r="8" spans="4:8" x14ac:dyDescent="0.3">
      <c r="D8">
        <v>1</v>
      </c>
      <c r="G8" t="s">
        <v>60</v>
      </c>
      <c r="H8" t="s">
        <v>61</v>
      </c>
    </row>
    <row r="9" spans="4:8" x14ac:dyDescent="0.3">
      <c r="D9">
        <v>1</v>
      </c>
    </row>
    <row r="10" spans="4:8" x14ac:dyDescent="0.3">
      <c r="D10">
        <v>1</v>
      </c>
      <c r="G10" t="s">
        <v>62</v>
      </c>
      <c r="H10" t="s">
        <v>63</v>
      </c>
    </row>
    <row r="11" spans="4:8" x14ac:dyDescent="0.3">
      <c r="D11">
        <v>1</v>
      </c>
      <c r="G11" t="s">
        <v>64</v>
      </c>
    </row>
    <row r="12" spans="4:8" x14ac:dyDescent="0.3">
      <c r="D12">
        <v>1</v>
      </c>
      <c r="G12" t="s">
        <v>65</v>
      </c>
      <c r="H12">
        <f>COUNT(D3:D18)</f>
        <v>16</v>
      </c>
    </row>
    <row r="13" spans="4:8" x14ac:dyDescent="0.3">
      <c r="D13">
        <v>1</v>
      </c>
      <c r="G13" t="s">
        <v>66</v>
      </c>
      <c r="H13">
        <f>COUNT(D19:D60)</f>
        <v>42</v>
      </c>
    </row>
    <row r="14" spans="4:8" x14ac:dyDescent="0.3">
      <c r="D14">
        <v>1</v>
      </c>
      <c r="G14" t="s">
        <v>67</v>
      </c>
      <c r="H14">
        <f>COUNT(D61:D140)</f>
        <v>80</v>
      </c>
    </row>
    <row r="15" spans="4:8" x14ac:dyDescent="0.3">
      <c r="D15">
        <v>1</v>
      </c>
      <c r="G15" t="s">
        <v>68</v>
      </c>
      <c r="H15">
        <f>COUNT(D141:D211)</f>
        <v>71</v>
      </c>
    </row>
    <row r="16" spans="4:8" x14ac:dyDescent="0.3">
      <c r="D16">
        <v>1</v>
      </c>
    </row>
    <row r="17" spans="4:4" x14ac:dyDescent="0.3">
      <c r="D17">
        <v>1</v>
      </c>
    </row>
    <row r="18" spans="4:4" x14ac:dyDescent="0.3">
      <c r="D18">
        <v>1</v>
      </c>
    </row>
    <row r="19" spans="4:4" x14ac:dyDescent="0.3">
      <c r="D19">
        <v>2</v>
      </c>
    </row>
    <row r="20" spans="4:4" x14ac:dyDescent="0.3">
      <c r="D20">
        <v>2</v>
      </c>
    </row>
    <row r="21" spans="4:4" x14ac:dyDescent="0.3">
      <c r="D21">
        <v>2</v>
      </c>
    </row>
    <row r="22" spans="4:4" x14ac:dyDescent="0.3">
      <c r="D22">
        <v>2</v>
      </c>
    </row>
    <row r="23" spans="4:4" x14ac:dyDescent="0.3">
      <c r="D23">
        <v>2</v>
      </c>
    </row>
    <row r="24" spans="4:4" x14ac:dyDescent="0.3">
      <c r="D24">
        <v>2</v>
      </c>
    </row>
    <row r="25" spans="4:4" x14ac:dyDescent="0.3">
      <c r="D25">
        <v>2</v>
      </c>
    </row>
    <row r="26" spans="4:4" x14ac:dyDescent="0.3">
      <c r="D26">
        <v>2</v>
      </c>
    </row>
    <row r="27" spans="4:4" x14ac:dyDescent="0.3">
      <c r="D27">
        <v>2</v>
      </c>
    </row>
    <row r="28" spans="4:4" x14ac:dyDescent="0.3">
      <c r="D28">
        <v>2</v>
      </c>
    </row>
    <row r="29" spans="4:4" x14ac:dyDescent="0.3">
      <c r="D29">
        <v>2</v>
      </c>
    </row>
    <row r="30" spans="4:4" x14ac:dyDescent="0.3">
      <c r="D30">
        <v>2</v>
      </c>
    </row>
    <row r="31" spans="4:4" x14ac:dyDescent="0.3">
      <c r="D31">
        <v>2</v>
      </c>
    </row>
    <row r="32" spans="4:4" x14ac:dyDescent="0.3">
      <c r="D32">
        <v>2</v>
      </c>
    </row>
    <row r="33" spans="4:4" x14ac:dyDescent="0.3">
      <c r="D33">
        <v>2</v>
      </c>
    </row>
    <row r="34" spans="4:4" x14ac:dyDescent="0.3">
      <c r="D34">
        <v>2</v>
      </c>
    </row>
    <row r="35" spans="4:4" x14ac:dyDescent="0.3">
      <c r="D35">
        <v>2</v>
      </c>
    </row>
    <row r="36" spans="4:4" x14ac:dyDescent="0.3">
      <c r="D36">
        <v>2</v>
      </c>
    </row>
    <row r="37" spans="4:4" x14ac:dyDescent="0.3">
      <c r="D37">
        <v>2</v>
      </c>
    </row>
    <row r="38" spans="4:4" x14ac:dyDescent="0.3">
      <c r="D38">
        <v>2</v>
      </c>
    </row>
    <row r="39" spans="4:4" x14ac:dyDescent="0.3">
      <c r="D39">
        <v>2</v>
      </c>
    </row>
    <row r="40" spans="4:4" x14ac:dyDescent="0.3">
      <c r="D40">
        <v>2</v>
      </c>
    </row>
    <row r="41" spans="4:4" x14ac:dyDescent="0.3">
      <c r="D41">
        <v>2</v>
      </c>
    </row>
    <row r="42" spans="4:4" x14ac:dyDescent="0.3">
      <c r="D42">
        <v>2</v>
      </c>
    </row>
    <row r="43" spans="4:4" x14ac:dyDescent="0.3">
      <c r="D43">
        <v>2</v>
      </c>
    </row>
    <row r="44" spans="4:4" x14ac:dyDescent="0.3">
      <c r="D44">
        <v>2</v>
      </c>
    </row>
    <row r="45" spans="4:4" x14ac:dyDescent="0.3">
      <c r="D45">
        <v>2</v>
      </c>
    </row>
    <row r="46" spans="4:4" x14ac:dyDescent="0.3">
      <c r="D46">
        <v>2</v>
      </c>
    </row>
    <row r="47" spans="4:4" x14ac:dyDescent="0.3">
      <c r="D47">
        <v>2</v>
      </c>
    </row>
    <row r="48" spans="4:4" x14ac:dyDescent="0.3">
      <c r="D48">
        <v>2</v>
      </c>
    </row>
    <row r="49" spans="4:4" x14ac:dyDescent="0.3">
      <c r="D49">
        <v>2</v>
      </c>
    </row>
    <row r="50" spans="4:4" x14ac:dyDescent="0.3">
      <c r="D50">
        <v>2</v>
      </c>
    </row>
    <row r="51" spans="4:4" x14ac:dyDescent="0.3">
      <c r="D51">
        <v>2</v>
      </c>
    </row>
    <row r="52" spans="4:4" x14ac:dyDescent="0.3">
      <c r="D52">
        <v>2</v>
      </c>
    </row>
    <row r="53" spans="4:4" x14ac:dyDescent="0.3">
      <c r="D53">
        <v>2</v>
      </c>
    </row>
    <row r="54" spans="4:4" x14ac:dyDescent="0.3">
      <c r="D54">
        <v>2</v>
      </c>
    </row>
    <row r="55" spans="4:4" x14ac:dyDescent="0.3">
      <c r="D55">
        <v>2</v>
      </c>
    </row>
    <row r="56" spans="4:4" x14ac:dyDescent="0.3">
      <c r="D56">
        <v>2</v>
      </c>
    </row>
    <row r="57" spans="4:4" x14ac:dyDescent="0.3">
      <c r="D57">
        <v>2</v>
      </c>
    </row>
    <row r="58" spans="4:4" x14ac:dyDescent="0.3">
      <c r="D58">
        <v>2</v>
      </c>
    </row>
    <row r="59" spans="4:4" x14ac:dyDescent="0.3">
      <c r="D59">
        <v>2</v>
      </c>
    </row>
    <row r="60" spans="4:4" x14ac:dyDescent="0.3">
      <c r="D60">
        <v>2</v>
      </c>
    </row>
    <row r="61" spans="4:4" x14ac:dyDescent="0.3">
      <c r="D61">
        <v>3</v>
      </c>
    </row>
    <row r="62" spans="4:4" x14ac:dyDescent="0.3">
      <c r="D62">
        <v>3</v>
      </c>
    </row>
    <row r="63" spans="4:4" x14ac:dyDescent="0.3">
      <c r="D63">
        <v>3</v>
      </c>
    </row>
    <row r="64" spans="4:4" x14ac:dyDescent="0.3">
      <c r="D64">
        <v>3</v>
      </c>
    </row>
    <row r="65" spans="4:4" x14ac:dyDescent="0.3">
      <c r="D65">
        <v>3</v>
      </c>
    </row>
    <row r="66" spans="4:4" x14ac:dyDescent="0.3">
      <c r="D66">
        <v>3</v>
      </c>
    </row>
    <row r="67" spans="4:4" x14ac:dyDescent="0.3">
      <c r="D67">
        <v>3</v>
      </c>
    </row>
    <row r="68" spans="4:4" x14ac:dyDescent="0.3">
      <c r="D68">
        <v>3</v>
      </c>
    </row>
    <row r="69" spans="4:4" x14ac:dyDescent="0.3">
      <c r="D69">
        <v>3</v>
      </c>
    </row>
    <row r="70" spans="4:4" x14ac:dyDescent="0.3">
      <c r="D70">
        <v>3</v>
      </c>
    </row>
    <row r="71" spans="4:4" x14ac:dyDescent="0.3">
      <c r="D71">
        <v>3</v>
      </c>
    </row>
    <row r="72" spans="4:4" x14ac:dyDescent="0.3">
      <c r="D72">
        <v>3</v>
      </c>
    </row>
    <row r="73" spans="4:4" x14ac:dyDescent="0.3">
      <c r="D73">
        <v>3</v>
      </c>
    </row>
    <row r="74" spans="4:4" x14ac:dyDescent="0.3">
      <c r="D74">
        <v>3</v>
      </c>
    </row>
    <row r="75" spans="4:4" x14ac:dyDescent="0.3">
      <c r="D75">
        <v>3</v>
      </c>
    </row>
    <row r="76" spans="4:4" x14ac:dyDescent="0.3">
      <c r="D76">
        <v>3</v>
      </c>
    </row>
    <row r="77" spans="4:4" x14ac:dyDescent="0.3">
      <c r="D77">
        <v>3</v>
      </c>
    </row>
    <row r="78" spans="4:4" x14ac:dyDescent="0.3">
      <c r="D78">
        <v>3</v>
      </c>
    </row>
    <row r="79" spans="4:4" x14ac:dyDescent="0.3">
      <c r="D79">
        <v>3</v>
      </c>
    </row>
    <row r="80" spans="4:4" x14ac:dyDescent="0.3">
      <c r="D80">
        <v>3</v>
      </c>
    </row>
    <row r="81" spans="4:4" x14ac:dyDescent="0.3">
      <c r="D81">
        <v>3</v>
      </c>
    </row>
    <row r="82" spans="4:4" x14ac:dyDescent="0.3">
      <c r="D82">
        <v>3</v>
      </c>
    </row>
    <row r="83" spans="4:4" x14ac:dyDescent="0.3">
      <c r="D83">
        <v>3</v>
      </c>
    </row>
    <row r="84" spans="4:4" x14ac:dyDescent="0.3">
      <c r="D84">
        <v>3</v>
      </c>
    </row>
    <row r="85" spans="4:4" x14ac:dyDescent="0.3">
      <c r="D85">
        <v>3</v>
      </c>
    </row>
    <row r="86" spans="4:4" x14ac:dyDescent="0.3">
      <c r="D86">
        <v>3</v>
      </c>
    </row>
    <row r="87" spans="4:4" x14ac:dyDescent="0.3">
      <c r="D87">
        <v>3</v>
      </c>
    </row>
    <row r="88" spans="4:4" x14ac:dyDescent="0.3">
      <c r="D88">
        <v>3</v>
      </c>
    </row>
    <row r="89" spans="4:4" x14ac:dyDescent="0.3">
      <c r="D89">
        <v>3</v>
      </c>
    </row>
    <row r="90" spans="4:4" x14ac:dyDescent="0.3">
      <c r="D90">
        <v>3</v>
      </c>
    </row>
    <row r="91" spans="4:4" x14ac:dyDescent="0.3">
      <c r="D91">
        <v>3</v>
      </c>
    </row>
    <row r="92" spans="4:4" x14ac:dyDescent="0.3">
      <c r="D92">
        <v>3</v>
      </c>
    </row>
    <row r="93" spans="4:4" x14ac:dyDescent="0.3">
      <c r="D93">
        <v>3</v>
      </c>
    </row>
    <row r="94" spans="4:4" x14ac:dyDescent="0.3">
      <c r="D94">
        <v>3</v>
      </c>
    </row>
    <row r="95" spans="4:4" x14ac:dyDescent="0.3">
      <c r="D95">
        <v>3</v>
      </c>
    </row>
    <row r="96" spans="4:4" x14ac:dyDescent="0.3">
      <c r="D96">
        <v>3</v>
      </c>
    </row>
    <row r="97" spans="4:4" x14ac:dyDescent="0.3">
      <c r="D97">
        <v>3</v>
      </c>
    </row>
    <row r="98" spans="4:4" x14ac:dyDescent="0.3">
      <c r="D98">
        <v>3</v>
      </c>
    </row>
    <row r="99" spans="4:4" x14ac:dyDescent="0.3">
      <c r="D99">
        <v>3</v>
      </c>
    </row>
    <row r="100" spans="4:4" x14ac:dyDescent="0.3">
      <c r="D100">
        <v>3</v>
      </c>
    </row>
    <row r="101" spans="4:4" x14ac:dyDescent="0.3">
      <c r="D101">
        <v>3</v>
      </c>
    </row>
    <row r="102" spans="4:4" x14ac:dyDescent="0.3">
      <c r="D102">
        <v>3</v>
      </c>
    </row>
    <row r="103" spans="4:4" x14ac:dyDescent="0.3">
      <c r="D103">
        <v>3</v>
      </c>
    </row>
    <row r="104" spans="4:4" x14ac:dyDescent="0.3">
      <c r="D104">
        <v>3</v>
      </c>
    </row>
    <row r="105" spans="4:4" x14ac:dyDescent="0.3">
      <c r="D105">
        <v>3</v>
      </c>
    </row>
    <row r="106" spans="4:4" x14ac:dyDescent="0.3">
      <c r="D106">
        <v>3</v>
      </c>
    </row>
    <row r="107" spans="4:4" x14ac:dyDescent="0.3">
      <c r="D107">
        <v>3</v>
      </c>
    </row>
    <row r="108" spans="4:4" x14ac:dyDescent="0.3">
      <c r="D108">
        <v>3</v>
      </c>
    </row>
    <row r="109" spans="4:4" x14ac:dyDescent="0.3">
      <c r="D109">
        <v>3</v>
      </c>
    </row>
    <row r="110" spans="4:4" x14ac:dyDescent="0.3">
      <c r="D110">
        <v>3</v>
      </c>
    </row>
    <row r="111" spans="4:4" x14ac:dyDescent="0.3">
      <c r="D111">
        <v>3</v>
      </c>
    </row>
    <row r="112" spans="4:4" x14ac:dyDescent="0.3">
      <c r="D112">
        <v>3</v>
      </c>
    </row>
    <row r="113" spans="4:4" x14ac:dyDescent="0.3">
      <c r="D113">
        <v>3</v>
      </c>
    </row>
    <row r="114" spans="4:4" x14ac:dyDescent="0.3">
      <c r="D114">
        <v>3</v>
      </c>
    </row>
    <row r="115" spans="4:4" x14ac:dyDescent="0.3">
      <c r="D115">
        <v>3</v>
      </c>
    </row>
    <row r="116" spans="4:4" x14ac:dyDescent="0.3">
      <c r="D116">
        <v>3</v>
      </c>
    </row>
    <row r="117" spans="4:4" x14ac:dyDescent="0.3">
      <c r="D117">
        <v>3</v>
      </c>
    </row>
    <row r="118" spans="4:4" x14ac:dyDescent="0.3">
      <c r="D118">
        <v>3</v>
      </c>
    </row>
    <row r="119" spans="4:4" x14ac:dyDescent="0.3">
      <c r="D119">
        <v>3</v>
      </c>
    </row>
    <row r="120" spans="4:4" x14ac:dyDescent="0.3">
      <c r="D120">
        <v>3</v>
      </c>
    </row>
    <row r="121" spans="4:4" x14ac:dyDescent="0.3">
      <c r="D121">
        <v>3</v>
      </c>
    </row>
    <row r="122" spans="4:4" x14ac:dyDescent="0.3">
      <c r="D122">
        <v>3</v>
      </c>
    </row>
    <row r="123" spans="4:4" x14ac:dyDescent="0.3">
      <c r="D123">
        <v>3</v>
      </c>
    </row>
    <row r="124" spans="4:4" x14ac:dyDescent="0.3">
      <c r="D124">
        <v>3</v>
      </c>
    </row>
    <row r="125" spans="4:4" x14ac:dyDescent="0.3">
      <c r="D125">
        <v>3</v>
      </c>
    </row>
    <row r="126" spans="4:4" x14ac:dyDescent="0.3">
      <c r="D126">
        <v>3</v>
      </c>
    </row>
    <row r="127" spans="4:4" x14ac:dyDescent="0.3">
      <c r="D127">
        <v>3</v>
      </c>
    </row>
    <row r="128" spans="4:4" x14ac:dyDescent="0.3">
      <c r="D128">
        <v>3</v>
      </c>
    </row>
    <row r="129" spans="4:4" x14ac:dyDescent="0.3">
      <c r="D129">
        <v>3</v>
      </c>
    </row>
    <row r="130" spans="4:4" x14ac:dyDescent="0.3">
      <c r="D130">
        <v>3</v>
      </c>
    </row>
    <row r="131" spans="4:4" x14ac:dyDescent="0.3">
      <c r="D131">
        <v>3</v>
      </c>
    </row>
    <row r="132" spans="4:4" x14ac:dyDescent="0.3">
      <c r="D132">
        <v>3</v>
      </c>
    </row>
    <row r="133" spans="4:4" x14ac:dyDescent="0.3">
      <c r="D133">
        <v>3</v>
      </c>
    </row>
    <row r="134" spans="4:4" x14ac:dyDescent="0.3">
      <c r="D134">
        <v>3</v>
      </c>
    </row>
    <row r="135" spans="4:4" x14ac:dyDescent="0.3">
      <c r="D135">
        <v>3</v>
      </c>
    </row>
    <row r="136" spans="4:4" x14ac:dyDescent="0.3">
      <c r="D136">
        <v>3</v>
      </c>
    </row>
    <row r="137" spans="4:4" x14ac:dyDescent="0.3">
      <c r="D137">
        <v>3</v>
      </c>
    </row>
    <row r="138" spans="4:4" x14ac:dyDescent="0.3">
      <c r="D138">
        <v>3</v>
      </c>
    </row>
    <row r="139" spans="4:4" x14ac:dyDescent="0.3">
      <c r="D139">
        <v>3</v>
      </c>
    </row>
    <row r="140" spans="4:4" x14ac:dyDescent="0.3">
      <c r="D140">
        <v>3</v>
      </c>
    </row>
    <row r="141" spans="4:4" x14ac:dyDescent="0.3">
      <c r="D141">
        <v>4</v>
      </c>
    </row>
    <row r="142" spans="4:4" x14ac:dyDescent="0.3">
      <c r="D142">
        <v>4</v>
      </c>
    </row>
    <row r="143" spans="4:4" x14ac:dyDescent="0.3">
      <c r="D143">
        <v>4</v>
      </c>
    </row>
    <row r="144" spans="4:4" x14ac:dyDescent="0.3">
      <c r="D144">
        <v>4</v>
      </c>
    </row>
    <row r="145" spans="4:4" x14ac:dyDescent="0.3">
      <c r="D145">
        <v>4</v>
      </c>
    </row>
    <row r="146" spans="4:4" x14ac:dyDescent="0.3">
      <c r="D146">
        <v>4</v>
      </c>
    </row>
    <row r="147" spans="4:4" x14ac:dyDescent="0.3">
      <c r="D147">
        <v>4</v>
      </c>
    </row>
    <row r="148" spans="4:4" x14ac:dyDescent="0.3">
      <c r="D148">
        <v>4</v>
      </c>
    </row>
    <row r="149" spans="4:4" x14ac:dyDescent="0.3">
      <c r="D149">
        <v>4</v>
      </c>
    </row>
    <row r="150" spans="4:4" x14ac:dyDescent="0.3">
      <c r="D150">
        <v>4</v>
      </c>
    </row>
    <row r="151" spans="4:4" x14ac:dyDescent="0.3">
      <c r="D151">
        <v>4</v>
      </c>
    </row>
    <row r="152" spans="4:4" x14ac:dyDescent="0.3">
      <c r="D152">
        <v>4</v>
      </c>
    </row>
    <row r="153" spans="4:4" x14ac:dyDescent="0.3">
      <c r="D153">
        <v>4</v>
      </c>
    </row>
    <row r="154" spans="4:4" x14ac:dyDescent="0.3">
      <c r="D154">
        <v>4</v>
      </c>
    </row>
    <row r="155" spans="4:4" x14ac:dyDescent="0.3">
      <c r="D155">
        <v>4</v>
      </c>
    </row>
    <row r="156" spans="4:4" x14ac:dyDescent="0.3">
      <c r="D156">
        <v>4</v>
      </c>
    </row>
    <row r="157" spans="4:4" x14ac:dyDescent="0.3">
      <c r="D157">
        <v>4</v>
      </c>
    </row>
    <row r="158" spans="4:4" x14ac:dyDescent="0.3">
      <c r="D158">
        <v>4</v>
      </c>
    </row>
    <row r="159" spans="4:4" x14ac:dyDescent="0.3">
      <c r="D159">
        <v>4</v>
      </c>
    </row>
    <row r="160" spans="4:4" x14ac:dyDescent="0.3">
      <c r="D160">
        <v>4</v>
      </c>
    </row>
    <row r="161" spans="4:4" x14ac:dyDescent="0.3">
      <c r="D161">
        <v>4</v>
      </c>
    </row>
    <row r="162" spans="4:4" x14ac:dyDescent="0.3">
      <c r="D162">
        <v>4</v>
      </c>
    </row>
    <row r="163" spans="4:4" x14ac:dyDescent="0.3">
      <c r="D163">
        <v>4</v>
      </c>
    </row>
    <row r="164" spans="4:4" x14ac:dyDescent="0.3">
      <c r="D164">
        <v>4</v>
      </c>
    </row>
    <row r="165" spans="4:4" x14ac:dyDescent="0.3">
      <c r="D165">
        <v>4</v>
      </c>
    </row>
    <row r="166" spans="4:4" x14ac:dyDescent="0.3">
      <c r="D166">
        <v>4</v>
      </c>
    </row>
    <row r="167" spans="4:4" x14ac:dyDescent="0.3">
      <c r="D167">
        <v>4</v>
      </c>
    </row>
    <row r="168" spans="4:4" x14ac:dyDescent="0.3">
      <c r="D168">
        <v>4</v>
      </c>
    </row>
    <row r="169" spans="4:4" x14ac:dyDescent="0.3">
      <c r="D169">
        <v>4</v>
      </c>
    </row>
    <row r="170" spans="4:4" x14ac:dyDescent="0.3">
      <c r="D170">
        <v>4</v>
      </c>
    </row>
    <row r="171" spans="4:4" x14ac:dyDescent="0.3">
      <c r="D171">
        <v>4</v>
      </c>
    </row>
    <row r="172" spans="4:4" x14ac:dyDescent="0.3">
      <c r="D172">
        <v>4</v>
      </c>
    </row>
    <row r="173" spans="4:4" x14ac:dyDescent="0.3">
      <c r="D173">
        <v>4</v>
      </c>
    </row>
    <row r="174" spans="4:4" x14ac:dyDescent="0.3">
      <c r="D174">
        <v>4</v>
      </c>
    </row>
    <row r="175" spans="4:4" x14ac:dyDescent="0.3">
      <c r="D175">
        <v>4</v>
      </c>
    </row>
    <row r="176" spans="4:4" x14ac:dyDescent="0.3">
      <c r="D176">
        <v>4</v>
      </c>
    </row>
    <row r="177" spans="4:4" x14ac:dyDescent="0.3">
      <c r="D177">
        <v>4</v>
      </c>
    </row>
    <row r="178" spans="4:4" x14ac:dyDescent="0.3">
      <c r="D178">
        <v>4</v>
      </c>
    </row>
    <row r="179" spans="4:4" x14ac:dyDescent="0.3">
      <c r="D179">
        <v>4</v>
      </c>
    </row>
    <row r="180" spans="4:4" x14ac:dyDescent="0.3">
      <c r="D180">
        <v>4</v>
      </c>
    </row>
    <row r="181" spans="4:4" x14ac:dyDescent="0.3">
      <c r="D181">
        <v>4</v>
      </c>
    </row>
    <row r="182" spans="4:4" x14ac:dyDescent="0.3">
      <c r="D182">
        <v>4</v>
      </c>
    </row>
    <row r="183" spans="4:4" x14ac:dyDescent="0.3">
      <c r="D183">
        <v>4</v>
      </c>
    </row>
    <row r="184" spans="4:4" x14ac:dyDescent="0.3">
      <c r="D184">
        <v>4</v>
      </c>
    </row>
    <row r="185" spans="4:4" x14ac:dyDescent="0.3">
      <c r="D185">
        <v>4</v>
      </c>
    </row>
    <row r="186" spans="4:4" x14ac:dyDescent="0.3">
      <c r="D186">
        <v>4</v>
      </c>
    </row>
    <row r="187" spans="4:4" x14ac:dyDescent="0.3">
      <c r="D187">
        <v>4</v>
      </c>
    </row>
    <row r="188" spans="4:4" x14ac:dyDescent="0.3">
      <c r="D188">
        <v>4</v>
      </c>
    </row>
    <row r="189" spans="4:4" x14ac:dyDescent="0.3">
      <c r="D189">
        <v>4</v>
      </c>
    </row>
    <row r="190" spans="4:4" x14ac:dyDescent="0.3">
      <c r="D190">
        <v>4</v>
      </c>
    </row>
    <row r="191" spans="4:4" x14ac:dyDescent="0.3">
      <c r="D191">
        <v>4</v>
      </c>
    </row>
    <row r="192" spans="4:4" x14ac:dyDescent="0.3">
      <c r="D192">
        <v>4</v>
      </c>
    </row>
    <row r="193" spans="4:4" x14ac:dyDescent="0.3">
      <c r="D193">
        <v>4</v>
      </c>
    </row>
    <row r="194" spans="4:4" x14ac:dyDescent="0.3">
      <c r="D194">
        <v>4</v>
      </c>
    </row>
    <row r="195" spans="4:4" x14ac:dyDescent="0.3">
      <c r="D195">
        <v>4</v>
      </c>
    </row>
    <row r="196" spans="4:4" x14ac:dyDescent="0.3">
      <c r="D196">
        <v>4</v>
      </c>
    </row>
    <row r="197" spans="4:4" x14ac:dyDescent="0.3">
      <c r="D197">
        <v>4</v>
      </c>
    </row>
    <row r="198" spans="4:4" x14ac:dyDescent="0.3">
      <c r="D198">
        <v>4</v>
      </c>
    </row>
    <row r="199" spans="4:4" x14ac:dyDescent="0.3">
      <c r="D199">
        <v>4</v>
      </c>
    </row>
    <row r="200" spans="4:4" x14ac:dyDescent="0.3">
      <c r="D200">
        <v>4</v>
      </c>
    </row>
    <row r="201" spans="4:4" x14ac:dyDescent="0.3">
      <c r="D201">
        <v>4</v>
      </c>
    </row>
    <row r="202" spans="4:4" x14ac:dyDescent="0.3">
      <c r="D202">
        <v>4</v>
      </c>
    </row>
    <row r="203" spans="4:4" x14ac:dyDescent="0.3">
      <c r="D203">
        <v>4</v>
      </c>
    </row>
    <row r="204" spans="4:4" x14ac:dyDescent="0.3">
      <c r="D204">
        <v>4</v>
      </c>
    </row>
    <row r="205" spans="4:4" x14ac:dyDescent="0.3">
      <c r="D205">
        <v>4</v>
      </c>
    </row>
    <row r="206" spans="4:4" x14ac:dyDescent="0.3">
      <c r="D206">
        <v>4</v>
      </c>
    </row>
    <row r="207" spans="4:4" x14ac:dyDescent="0.3">
      <c r="D207">
        <v>4</v>
      </c>
    </row>
    <row r="208" spans="4:4" x14ac:dyDescent="0.3">
      <c r="D208">
        <v>4</v>
      </c>
    </row>
    <row r="209" spans="3:4" x14ac:dyDescent="0.3">
      <c r="D209">
        <v>4</v>
      </c>
    </row>
    <row r="210" spans="3:4" x14ac:dyDescent="0.3">
      <c r="D210">
        <v>4</v>
      </c>
    </row>
    <row r="211" spans="3:4" x14ac:dyDescent="0.3">
      <c r="D211">
        <v>4</v>
      </c>
    </row>
    <row r="213" spans="3:4" x14ac:dyDescent="0.3">
      <c r="C213" t="s">
        <v>47</v>
      </c>
    </row>
    <row r="215" spans="3:4" x14ac:dyDescent="0.3">
      <c r="C215" t="s">
        <v>48</v>
      </c>
    </row>
    <row r="218" spans="3:4" x14ac:dyDescent="0.3">
      <c r="C218" t="s">
        <v>49</v>
      </c>
      <c r="D218">
        <f>MIN(D3:D211)</f>
        <v>1</v>
      </c>
    </row>
    <row r="220" spans="3:4" x14ac:dyDescent="0.3">
      <c r="C220" t="s">
        <v>50</v>
      </c>
      <c r="D220">
        <f>QUARTILE(D$3:D$211,1)</f>
        <v>2</v>
      </c>
    </row>
    <row r="222" spans="3:4" x14ac:dyDescent="0.3">
      <c r="C222" t="s">
        <v>51</v>
      </c>
      <c r="D222">
        <f>MEDIAN(D$3:D$211)</f>
        <v>3</v>
      </c>
    </row>
    <row r="224" spans="3:4" x14ac:dyDescent="0.3">
      <c r="C224" t="s">
        <v>52</v>
      </c>
      <c r="D224">
        <f>QUARTILE(D$3:D$211,3)</f>
        <v>4</v>
      </c>
    </row>
    <row r="226" spans="3:4" x14ac:dyDescent="0.3">
      <c r="C226" t="s">
        <v>53</v>
      </c>
      <c r="D226">
        <f>MAX(D$3:D$211)</f>
        <v>4</v>
      </c>
    </row>
    <row r="228" spans="3:4" x14ac:dyDescent="0.3">
      <c r="C228" t="s">
        <v>54</v>
      </c>
      <c r="D228">
        <f>D226-D218</f>
        <v>3</v>
      </c>
    </row>
    <row r="230" spans="3:4" x14ac:dyDescent="0.3">
      <c r="C230" t="s">
        <v>55</v>
      </c>
      <c r="D230">
        <f>D220-D224</f>
        <v>-2</v>
      </c>
    </row>
    <row r="232" spans="3:4" x14ac:dyDescent="0.3">
      <c r="C232" t="s">
        <v>56</v>
      </c>
      <c r="D232">
        <f>MODE(D$3:D$211)</f>
        <v>3</v>
      </c>
    </row>
  </sheetData>
  <sortState xmlns:xlrd2="http://schemas.microsoft.com/office/spreadsheetml/2017/richdata2" ref="D3:D211">
    <sortCondition ref="D3:D211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534E5-B186-4AE0-A4BE-55BD20393A30}">
  <dimension ref="C1:I232"/>
  <sheetViews>
    <sheetView workbookViewId="0">
      <selection activeCell="H18" sqref="H18"/>
    </sheetView>
  </sheetViews>
  <sheetFormatPr defaultRowHeight="14.4" x14ac:dyDescent="0.3"/>
  <cols>
    <col min="5" max="5" width="10.6640625" customWidth="1"/>
    <col min="7" max="7" width="20.33203125" customWidth="1"/>
    <col min="8" max="8" width="13.5546875" customWidth="1"/>
  </cols>
  <sheetData>
    <row r="1" spans="4:9" x14ac:dyDescent="0.3">
      <c r="D1">
        <v>1</v>
      </c>
    </row>
    <row r="2" spans="4:9" x14ac:dyDescent="0.3">
      <c r="D2" t="s">
        <v>0</v>
      </c>
      <c r="E2" t="s">
        <v>69</v>
      </c>
      <c r="G2" t="s">
        <v>70</v>
      </c>
    </row>
    <row r="3" spans="4:9" x14ac:dyDescent="0.3">
      <c r="D3">
        <v>51</v>
      </c>
      <c r="E3">
        <f>D3/365</f>
        <v>0.13972602739726028</v>
      </c>
      <c r="G3" t="s">
        <v>71</v>
      </c>
      <c r="H3" t="s">
        <v>72</v>
      </c>
    </row>
    <row r="4" spans="4:9" x14ac:dyDescent="0.3">
      <c r="D4">
        <v>71</v>
      </c>
      <c r="E4">
        <f>D4/365</f>
        <v>0.19452054794520549</v>
      </c>
      <c r="G4" t="s">
        <v>73</v>
      </c>
      <c r="H4" t="s">
        <v>61</v>
      </c>
    </row>
    <row r="5" spans="4:9" x14ac:dyDescent="0.3">
      <c r="D5">
        <v>77</v>
      </c>
      <c r="E5">
        <f>D5/365</f>
        <v>0.21095890410958903</v>
      </c>
    </row>
    <row r="6" spans="4:9" x14ac:dyDescent="0.3">
      <c r="D6">
        <v>110</v>
      </c>
      <c r="E6">
        <f>D6/365</f>
        <v>0.30136986301369861</v>
      </c>
      <c r="G6" t="s">
        <v>74</v>
      </c>
    </row>
    <row r="7" spans="4:9" x14ac:dyDescent="0.3">
      <c r="D7">
        <v>130</v>
      </c>
      <c r="E7">
        <f t="shared" ref="E7:E24" si="0">D7/365</f>
        <v>0.35616438356164382</v>
      </c>
      <c r="H7" t="s">
        <v>161</v>
      </c>
      <c r="I7" t="s">
        <v>75</v>
      </c>
    </row>
    <row r="8" spans="4:9" x14ac:dyDescent="0.3">
      <c r="D8">
        <v>131</v>
      </c>
      <c r="E8">
        <f t="shared" si="0"/>
        <v>0.35890410958904112</v>
      </c>
      <c r="G8" t="s">
        <v>193</v>
      </c>
      <c r="H8" t="s">
        <v>191</v>
      </c>
      <c r="I8">
        <v>43</v>
      </c>
    </row>
    <row r="9" spans="4:9" x14ac:dyDescent="0.3">
      <c r="D9">
        <v>140</v>
      </c>
      <c r="E9">
        <f t="shared" si="0"/>
        <v>0.38356164383561642</v>
      </c>
      <c r="G9" t="s">
        <v>194</v>
      </c>
      <c r="H9" t="s">
        <v>192</v>
      </c>
      <c r="I9">
        <v>37</v>
      </c>
    </row>
    <row r="10" spans="4:9" x14ac:dyDescent="0.3">
      <c r="D10">
        <v>186</v>
      </c>
      <c r="E10">
        <f t="shared" si="0"/>
        <v>0.50958904109589043</v>
      </c>
      <c r="G10" t="s">
        <v>196</v>
      </c>
      <c r="H10" t="s">
        <v>195</v>
      </c>
      <c r="I10">
        <v>66</v>
      </c>
    </row>
    <row r="11" spans="4:9" x14ac:dyDescent="0.3">
      <c r="D11">
        <v>191</v>
      </c>
      <c r="E11">
        <f t="shared" si="0"/>
        <v>0.52328767123287667</v>
      </c>
      <c r="G11" t="s">
        <v>198</v>
      </c>
      <c r="H11" t="s">
        <v>197</v>
      </c>
      <c r="I11">
        <v>42</v>
      </c>
    </row>
    <row r="12" spans="4:9" x14ac:dyDescent="0.3">
      <c r="D12">
        <v>198</v>
      </c>
      <c r="E12">
        <f t="shared" si="0"/>
        <v>0.54246575342465753</v>
      </c>
      <c r="G12" t="s">
        <v>199</v>
      </c>
      <c r="H12" t="s">
        <v>200</v>
      </c>
      <c r="I12">
        <v>21</v>
      </c>
    </row>
    <row r="13" spans="4:9" x14ac:dyDescent="0.3">
      <c r="D13">
        <v>223</v>
      </c>
      <c r="E13">
        <f t="shared" si="0"/>
        <v>0.61095890410958908</v>
      </c>
    </row>
    <row r="14" spans="4:9" x14ac:dyDescent="0.3">
      <c r="D14">
        <v>264</v>
      </c>
      <c r="E14">
        <f t="shared" si="0"/>
        <v>0.72328767123287674</v>
      </c>
    </row>
    <row r="15" spans="4:9" x14ac:dyDescent="0.3">
      <c r="D15">
        <v>264</v>
      </c>
      <c r="E15">
        <f t="shared" si="0"/>
        <v>0.72328767123287674</v>
      </c>
    </row>
    <row r="16" spans="4:9" x14ac:dyDescent="0.3">
      <c r="D16">
        <v>304</v>
      </c>
      <c r="E16">
        <f t="shared" si="0"/>
        <v>0.83287671232876714</v>
      </c>
    </row>
    <row r="17" spans="4:5" x14ac:dyDescent="0.3">
      <c r="D17">
        <v>321</v>
      </c>
      <c r="E17">
        <f t="shared" si="0"/>
        <v>0.8794520547945206</v>
      </c>
    </row>
    <row r="18" spans="4:5" x14ac:dyDescent="0.3">
      <c r="D18">
        <v>326</v>
      </c>
      <c r="E18">
        <f t="shared" si="0"/>
        <v>0.89315068493150684</v>
      </c>
    </row>
    <row r="19" spans="4:5" x14ac:dyDescent="0.3">
      <c r="D19">
        <v>334</v>
      </c>
      <c r="E19">
        <f t="shared" si="0"/>
        <v>0.91506849315068495</v>
      </c>
    </row>
    <row r="20" spans="4:5" x14ac:dyDescent="0.3">
      <c r="D20">
        <v>388</v>
      </c>
      <c r="E20">
        <f t="shared" si="0"/>
        <v>1.0630136986301371</v>
      </c>
    </row>
    <row r="21" spans="4:5" x14ac:dyDescent="0.3">
      <c r="D21">
        <v>400</v>
      </c>
      <c r="E21">
        <f t="shared" si="0"/>
        <v>1.095890410958904</v>
      </c>
    </row>
    <row r="22" spans="4:5" x14ac:dyDescent="0.3">
      <c r="D22">
        <v>460</v>
      </c>
      <c r="E22">
        <f t="shared" si="0"/>
        <v>1.2602739726027397</v>
      </c>
    </row>
    <row r="23" spans="4:5" x14ac:dyDescent="0.3">
      <c r="D23">
        <v>515</v>
      </c>
      <c r="E23">
        <f t="shared" si="0"/>
        <v>1.4109589041095891</v>
      </c>
    </row>
    <row r="24" spans="4:5" x14ac:dyDescent="0.3">
      <c r="D24">
        <v>549</v>
      </c>
      <c r="E24">
        <f t="shared" si="0"/>
        <v>1.5041095890410958</v>
      </c>
    </row>
    <row r="25" spans="4:5" x14ac:dyDescent="0.3">
      <c r="D25">
        <v>552</v>
      </c>
      <c r="E25">
        <f>D25/365</f>
        <v>1.5123287671232877</v>
      </c>
    </row>
    <row r="26" spans="4:5" x14ac:dyDescent="0.3">
      <c r="D26">
        <v>597</v>
      </c>
      <c r="E26">
        <f>D26/365</f>
        <v>1.6356164383561644</v>
      </c>
    </row>
    <row r="27" spans="4:5" x14ac:dyDescent="0.3">
      <c r="D27">
        <v>611</v>
      </c>
      <c r="E27">
        <f>D27/365</f>
        <v>1.6739726027397259</v>
      </c>
    </row>
    <row r="28" spans="4:5" x14ac:dyDescent="0.3">
      <c r="D28">
        <v>673</v>
      </c>
      <c r="E28">
        <f>D28/365</f>
        <v>1.8438356164383563</v>
      </c>
    </row>
    <row r="29" spans="4:5" x14ac:dyDescent="0.3">
      <c r="D29">
        <v>708</v>
      </c>
      <c r="E29">
        <f t="shared" ref="E29:E46" si="1">D29/365</f>
        <v>1.9397260273972603</v>
      </c>
    </row>
    <row r="30" spans="4:5" x14ac:dyDescent="0.3">
      <c r="D30">
        <v>733</v>
      </c>
      <c r="E30">
        <f t="shared" si="1"/>
        <v>2.0082191780821916</v>
      </c>
    </row>
    <row r="31" spans="4:5" x14ac:dyDescent="0.3">
      <c r="D31">
        <v>750</v>
      </c>
      <c r="E31">
        <f t="shared" si="1"/>
        <v>2.0547945205479454</v>
      </c>
    </row>
    <row r="32" spans="4:5" x14ac:dyDescent="0.3">
      <c r="D32">
        <v>762</v>
      </c>
      <c r="E32">
        <f t="shared" si="1"/>
        <v>2.0876712328767124</v>
      </c>
    </row>
    <row r="33" spans="4:5" x14ac:dyDescent="0.3">
      <c r="D33">
        <v>769</v>
      </c>
      <c r="E33">
        <f t="shared" si="1"/>
        <v>2.106849315068493</v>
      </c>
    </row>
    <row r="34" spans="4:5" x14ac:dyDescent="0.3">
      <c r="D34">
        <v>786</v>
      </c>
      <c r="E34">
        <f t="shared" si="1"/>
        <v>2.1534246575342464</v>
      </c>
    </row>
    <row r="35" spans="4:5" x14ac:dyDescent="0.3">
      <c r="D35">
        <v>790</v>
      </c>
      <c r="E35">
        <f t="shared" si="1"/>
        <v>2.1643835616438358</v>
      </c>
    </row>
    <row r="36" spans="4:5" x14ac:dyDescent="0.3">
      <c r="D36">
        <v>824</v>
      </c>
      <c r="E36">
        <f t="shared" si="1"/>
        <v>2.2575342465753425</v>
      </c>
    </row>
    <row r="37" spans="4:5" x14ac:dyDescent="0.3">
      <c r="D37">
        <v>850</v>
      </c>
      <c r="E37">
        <f t="shared" si="1"/>
        <v>2.3287671232876712</v>
      </c>
    </row>
    <row r="38" spans="4:5" x14ac:dyDescent="0.3">
      <c r="D38">
        <v>853</v>
      </c>
      <c r="E38">
        <f t="shared" si="1"/>
        <v>2.3369863013698629</v>
      </c>
    </row>
    <row r="39" spans="4:5" x14ac:dyDescent="0.3">
      <c r="D39">
        <v>859</v>
      </c>
      <c r="E39">
        <f t="shared" si="1"/>
        <v>2.3534246575342466</v>
      </c>
    </row>
    <row r="40" spans="4:5" x14ac:dyDescent="0.3">
      <c r="D40">
        <v>890</v>
      </c>
      <c r="E40">
        <f t="shared" si="1"/>
        <v>2.4383561643835616</v>
      </c>
    </row>
    <row r="41" spans="4:5" x14ac:dyDescent="0.3">
      <c r="D41">
        <v>904</v>
      </c>
      <c r="E41">
        <f t="shared" si="1"/>
        <v>2.4767123287671233</v>
      </c>
    </row>
    <row r="42" spans="4:5" x14ac:dyDescent="0.3">
      <c r="D42">
        <v>943</v>
      </c>
      <c r="E42">
        <f t="shared" si="1"/>
        <v>2.5835616438356164</v>
      </c>
    </row>
    <row r="43" spans="4:5" x14ac:dyDescent="0.3">
      <c r="D43">
        <v>971</v>
      </c>
      <c r="E43">
        <f t="shared" si="1"/>
        <v>2.6602739726027398</v>
      </c>
    </row>
    <row r="44" spans="4:5" x14ac:dyDescent="0.3">
      <c r="D44">
        <v>974</v>
      </c>
      <c r="E44">
        <f t="shared" si="1"/>
        <v>2.6684931506849314</v>
      </c>
    </row>
    <row r="45" spans="4:5" x14ac:dyDescent="0.3">
      <c r="D45">
        <v>980</v>
      </c>
      <c r="E45">
        <f t="shared" si="1"/>
        <v>2.6849315068493151</v>
      </c>
    </row>
    <row r="46" spans="4:5" x14ac:dyDescent="0.3">
      <c r="D46">
        <v>1000</v>
      </c>
      <c r="E46">
        <f t="shared" si="1"/>
        <v>2.7397260273972601</v>
      </c>
    </row>
    <row r="47" spans="4:5" x14ac:dyDescent="0.3">
      <c r="D47">
        <v>1012</v>
      </c>
      <c r="E47">
        <f>D47/365</f>
        <v>2.7726027397260276</v>
      </c>
    </row>
    <row r="48" spans="4:5" x14ac:dyDescent="0.3">
      <c r="D48">
        <v>1037</v>
      </c>
      <c r="E48">
        <f>D48/365</f>
        <v>2.8410958904109589</v>
      </c>
    </row>
    <row r="49" spans="4:5" x14ac:dyDescent="0.3">
      <c r="D49">
        <v>1077</v>
      </c>
      <c r="E49">
        <f>D49/365</f>
        <v>2.9506849315068493</v>
      </c>
    </row>
    <row r="50" spans="4:5" x14ac:dyDescent="0.3">
      <c r="D50">
        <v>1080</v>
      </c>
      <c r="E50">
        <f>D50/365</f>
        <v>2.9589041095890409</v>
      </c>
    </row>
    <row r="51" spans="4:5" x14ac:dyDescent="0.3">
      <c r="D51">
        <v>1083</v>
      </c>
      <c r="E51">
        <f t="shared" ref="E51:E62" si="2">D51/365</f>
        <v>2.967123287671233</v>
      </c>
    </row>
    <row r="52" spans="4:5" x14ac:dyDescent="0.3">
      <c r="D52">
        <v>1152</v>
      </c>
      <c r="E52">
        <f t="shared" si="2"/>
        <v>3.1561643835616437</v>
      </c>
    </row>
    <row r="53" spans="4:5" x14ac:dyDescent="0.3">
      <c r="D53">
        <v>1170</v>
      </c>
      <c r="E53">
        <f t="shared" si="2"/>
        <v>3.2054794520547945</v>
      </c>
    </row>
    <row r="54" spans="4:5" x14ac:dyDescent="0.3">
      <c r="D54">
        <v>1191</v>
      </c>
      <c r="E54">
        <f t="shared" si="2"/>
        <v>3.2630136986301368</v>
      </c>
    </row>
    <row r="55" spans="4:5" x14ac:dyDescent="0.3">
      <c r="D55">
        <v>1212</v>
      </c>
      <c r="E55">
        <f t="shared" si="2"/>
        <v>3.3205479452054796</v>
      </c>
    </row>
    <row r="56" spans="4:5" x14ac:dyDescent="0.3">
      <c r="D56">
        <v>1217</v>
      </c>
      <c r="E56">
        <f t="shared" si="2"/>
        <v>3.3342465753424659</v>
      </c>
    </row>
    <row r="57" spans="4:5" x14ac:dyDescent="0.3">
      <c r="D57">
        <v>1235</v>
      </c>
      <c r="E57">
        <f t="shared" si="2"/>
        <v>3.3835616438356166</v>
      </c>
    </row>
    <row r="58" spans="4:5" x14ac:dyDescent="0.3">
      <c r="D58">
        <v>1297</v>
      </c>
      <c r="E58">
        <f t="shared" si="2"/>
        <v>3.5534246575342467</v>
      </c>
    </row>
    <row r="59" spans="4:5" x14ac:dyDescent="0.3">
      <c r="D59">
        <v>1350</v>
      </c>
      <c r="E59">
        <f t="shared" si="2"/>
        <v>3.6986301369863015</v>
      </c>
    </row>
    <row r="60" spans="4:5" x14ac:dyDescent="0.3">
      <c r="D60">
        <v>1356</v>
      </c>
      <c r="E60">
        <f t="shared" si="2"/>
        <v>3.7150684931506848</v>
      </c>
    </row>
    <row r="61" spans="4:5" x14ac:dyDescent="0.3">
      <c r="D61">
        <v>1360</v>
      </c>
      <c r="E61">
        <f t="shared" si="2"/>
        <v>3.7260273972602738</v>
      </c>
    </row>
    <row r="62" spans="4:5" x14ac:dyDescent="0.3">
      <c r="D62">
        <v>1401</v>
      </c>
      <c r="E62">
        <f t="shared" si="2"/>
        <v>3.8383561643835615</v>
      </c>
    </row>
    <row r="63" spans="4:5" x14ac:dyDescent="0.3">
      <c r="D63">
        <v>1413</v>
      </c>
      <c r="E63">
        <f>D63/365</f>
        <v>3.871232876712329</v>
      </c>
    </row>
    <row r="64" spans="4:5" x14ac:dyDescent="0.3">
      <c r="D64">
        <v>1427</v>
      </c>
      <c r="E64">
        <f>D64/365</f>
        <v>3.9095890410958902</v>
      </c>
    </row>
    <row r="65" spans="4:5" x14ac:dyDescent="0.3">
      <c r="D65">
        <v>1434</v>
      </c>
      <c r="E65">
        <f>D65/365</f>
        <v>3.9287671232876713</v>
      </c>
    </row>
    <row r="66" spans="4:5" x14ac:dyDescent="0.3">
      <c r="D66">
        <v>1444</v>
      </c>
      <c r="E66">
        <f>D66/365</f>
        <v>3.956164383561644</v>
      </c>
    </row>
    <row r="67" spans="4:5" x14ac:dyDescent="0.3">
      <c r="D67">
        <v>1487</v>
      </c>
      <c r="E67">
        <f t="shared" ref="E67:E77" si="3">D67/365</f>
        <v>4.0739726027397261</v>
      </c>
    </row>
    <row r="68" spans="4:5" x14ac:dyDescent="0.3">
      <c r="D68">
        <v>1492</v>
      </c>
      <c r="E68">
        <f t="shared" si="3"/>
        <v>4.087671232876712</v>
      </c>
    </row>
    <row r="69" spans="4:5" x14ac:dyDescent="0.3">
      <c r="D69">
        <v>1504</v>
      </c>
      <c r="E69">
        <f t="shared" si="3"/>
        <v>4.1205479452054794</v>
      </c>
    </row>
    <row r="70" spans="4:5" x14ac:dyDescent="0.3">
      <c r="D70">
        <v>1525</v>
      </c>
      <c r="E70">
        <f t="shared" si="3"/>
        <v>4.1780821917808222</v>
      </c>
    </row>
    <row r="71" spans="4:5" x14ac:dyDescent="0.3">
      <c r="D71">
        <v>1536</v>
      </c>
      <c r="E71">
        <f t="shared" si="3"/>
        <v>4.2082191780821914</v>
      </c>
    </row>
    <row r="72" spans="4:5" x14ac:dyDescent="0.3">
      <c r="D72">
        <v>1576</v>
      </c>
      <c r="E72">
        <f t="shared" si="3"/>
        <v>4.3178082191780822</v>
      </c>
    </row>
    <row r="73" spans="4:5" x14ac:dyDescent="0.3">
      <c r="D73">
        <v>1657</v>
      </c>
      <c r="E73">
        <f t="shared" si="3"/>
        <v>4.5397260273972604</v>
      </c>
    </row>
    <row r="74" spans="4:5" x14ac:dyDescent="0.3">
      <c r="D74">
        <v>1682</v>
      </c>
      <c r="E74">
        <f t="shared" si="3"/>
        <v>4.6082191780821917</v>
      </c>
    </row>
    <row r="75" spans="4:5" x14ac:dyDescent="0.3">
      <c r="D75">
        <v>1690</v>
      </c>
      <c r="E75">
        <f t="shared" si="3"/>
        <v>4.6301369863013697</v>
      </c>
    </row>
    <row r="76" spans="4:5" x14ac:dyDescent="0.3">
      <c r="D76">
        <v>1702</v>
      </c>
      <c r="E76">
        <f t="shared" si="3"/>
        <v>4.6630136986301371</v>
      </c>
    </row>
    <row r="77" spans="4:5" x14ac:dyDescent="0.3">
      <c r="D77">
        <v>1741</v>
      </c>
      <c r="E77">
        <f t="shared" si="3"/>
        <v>4.7698630136986298</v>
      </c>
    </row>
    <row r="78" spans="4:5" x14ac:dyDescent="0.3">
      <c r="D78">
        <v>1786</v>
      </c>
      <c r="E78">
        <f>D78/365</f>
        <v>4.8931506849315065</v>
      </c>
    </row>
    <row r="79" spans="4:5" x14ac:dyDescent="0.3">
      <c r="D79">
        <v>1827</v>
      </c>
      <c r="E79">
        <f>D79/365</f>
        <v>5.0054794520547947</v>
      </c>
    </row>
    <row r="80" spans="4:5" x14ac:dyDescent="0.3">
      <c r="D80">
        <v>1832</v>
      </c>
      <c r="E80">
        <f>D80/365</f>
        <v>5.0191780821917806</v>
      </c>
    </row>
    <row r="81" spans="4:5" x14ac:dyDescent="0.3">
      <c r="D81">
        <v>1847</v>
      </c>
      <c r="E81">
        <f>D81/365</f>
        <v>5.0602739726027401</v>
      </c>
    </row>
    <row r="82" spans="4:5" x14ac:dyDescent="0.3">
      <c r="D82">
        <v>1925</v>
      </c>
      <c r="E82">
        <f t="shared" ref="E82:E98" si="4">D82/365</f>
        <v>5.2739726027397262</v>
      </c>
    </row>
    <row r="83" spans="4:5" x14ac:dyDescent="0.3">
      <c r="D83">
        <v>2033</v>
      </c>
      <c r="E83">
        <f t="shared" si="4"/>
        <v>5.5698630136986305</v>
      </c>
    </row>
    <row r="84" spans="4:5" x14ac:dyDescent="0.3">
      <c r="D84">
        <v>2050</v>
      </c>
      <c r="E84">
        <f t="shared" si="4"/>
        <v>5.6164383561643838</v>
      </c>
    </row>
    <row r="85" spans="4:5" x14ac:dyDescent="0.3">
      <c r="D85">
        <v>2055</v>
      </c>
      <c r="E85">
        <f t="shared" si="4"/>
        <v>5.6301369863013697</v>
      </c>
    </row>
    <row r="86" spans="4:5" x14ac:dyDescent="0.3">
      <c r="D86">
        <v>2105</v>
      </c>
      <c r="E86">
        <f t="shared" si="4"/>
        <v>5.7671232876712333</v>
      </c>
    </row>
    <row r="87" spans="4:5" x14ac:dyDescent="0.3">
      <c r="D87">
        <v>2106</v>
      </c>
      <c r="E87">
        <f t="shared" si="4"/>
        <v>5.7698630136986298</v>
      </c>
    </row>
    <row r="88" spans="4:5" x14ac:dyDescent="0.3">
      <c r="D88">
        <v>2157</v>
      </c>
      <c r="E88">
        <f t="shared" si="4"/>
        <v>5.9095890410958907</v>
      </c>
    </row>
    <row r="89" spans="4:5" x14ac:dyDescent="0.3">
      <c r="D89">
        <v>2168</v>
      </c>
      <c r="E89">
        <f t="shared" si="4"/>
        <v>5.9397260273972599</v>
      </c>
    </row>
    <row r="90" spans="4:5" x14ac:dyDescent="0.3">
      <c r="D90">
        <v>2170</v>
      </c>
      <c r="E90">
        <f t="shared" si="4"/>
        <v>5.9452054794520546</v>
      </c>
    </row>
    <row r="91" spans="4:5" x14ac:dyDescent="0.3">
      <c r="D91">
        <v>2171</v>
      </c>
      <c r="E91">
        <f t="shared" si="4"/>
        <v>5.9479452054794519</v>
      </c>
    </row>
    <row r="92" spans="4:5" x14ac:dyDescent="0.3">
      <c r="D92">
        <v>2176</v>
      </c>
      <c r="E92">
        <f t="shared" si="4"/>
        <v>5.9616438356164387</v>
      </c>
    </row>
    <row r="93" spans="4:5" x14ac:dyDescent="0.3">
      <c r="D93">
        <v>2178</v>
      </c>
      <c r="E93">
        <f t="shared" si="4"/>
        <v>5.9671232876712326</v>
      </c>
    </row>
    <row r="94" spans="4:5" x14ac:dyDescent="0.3">
      <c r="D94">
        <v>2195</v>
      </c>
      <c r="E94">
        <f t="shared" si="4"/>
        <v>6.0136986301369859</v>
      </c>
    </row>
    <row r="95" spans="4:5" x14ac:dyDescent="0.3">
      <c r="D95">
        <v>2216</v>
      </c>
      <c r="E95">
        <f t="shared" si="4"/>
        <v>6.0712328767123287</v>
      </c>
    </row>
    <row r="96" spans="4:5" x14ac:dyDescent="0.3">
      <c r="D96">
        <v>2224</v>
      </c>
      <c r="E96">
        <f t="shared" si="4"/>
        <v>6.0931506849315067</v>
      </c>
    </row>
    <row r="97" spans="4:5" x14ac:dyDescent="0.3">
      <c r="D97">
        <v>2224</v>
      </c>
      <c r="E97">
        <f t="shared" si="4"/>
        <v>6.0931506849315067</v>
      </c>
    </row>
    <row r="98" spans="4:5" x14ac:dyDescent="0.3">
      <c r="D98">
        <v>2241</v>
      </c>
      <c r="E98">
        <f t="shared" si="4"/>
        <v>6.13972602739726</v>
      </c>
    </row>
    <row r="99" spans="4:5" x14ac:dyDescent="0.3">
      <c r="D99">
        <v>2255</v>
      </c>
      <c r="E99">
        <f>D99/365</f>
        <v>6.1780821917808222</v>
      </c>
    </row>
    <row r="100" spans="4:5" x14ac:dyDescent="0.3">
      <c r="D100">
        <v>2256</v>
      </c>
      <c r="E100">
        <f>D100/365</f>
        <v>6.1808219178082195</v>
      </c>
    </row>
    <row r="101" spans="4:5" x14ac:dyDescent="0.3">
      <c r="D101">
        <v>2288</v>
      </c>
      <c r="E101">
        <f>D101/365</f>
        <v>6.2684931506849315</v>
      </c>
    </row>
    <row r="102" spans="4:5" x14ac:dyDescent="0.3">
      <c r="D102">
        <v>2297</v>
      </c>
      <c r="E102">
        <f>D102/365</f>
        <v>6.2931506849315069</v>
      </c>
    </row>
    <row r="103" spans="4:5" x14ac:dyDescent="0.3">
      <c r="D103">
        <v>2301</v>
      </c>
      <c r="E103">
        <f t="shared" ref="E103:E118" si="5">D103/365</f>
        <v>6.3041095890410963</v>
      </c>
    </row>
    <row r="104" spans="4:5" x14ac:dyDescent="0.3">
      <c r="D104">
        <v>2332</v>
      </c>
      <c r="E104">
        <f t="shared" si="5"/>
        <v>6.3890410958904109</v>
      </c>
    </row>
    <row r="105" spans="4:5" x14ac:dyDescent="0.3">
      <c r="D105">
        <v>2350</v>
      </c>
      <c r="E105">
        <f t="shared" si="5"/>
        <v>6.4383561643835616</v>
      </c>
    </row>
    <row r="106" spans="4:5" x14ac:dyDescent="0.3">
      <c r="D106">
        <v>2386</v>
      </c>
      <c r="E106">
        <f t="shared" si="5"/>
        <v>6.536986301369863</v>
      </c>
    </row>
    <row r="107" spans="4:5" x14ac:dyDescent="0.3">
      <c r="D107">
        <v>2400</v>
      </c>
      <c r="E107">
        <f t="shared" si="5"/>
        <v>6.5753424657534243</v>
      </c>
    </row>
    <row r="108" spans="4:5" x14ac:dyDescent="0.3">
      <c r="D108">
        <v>2419</v>
      </c>
      <c r="E108">
        <f t="shared" si="5"/>
        <v>6.6273972602739724</v>
      </c>
    </row>
    <row r="109" spans="4:5" x14ac:dyDescent="0.3">
      <c r="D109">
        <v>2452</v>
      </c>
      <c r="E109">
        <f t="shared" si="5"/>
        <v>6.7178082191780826</v>
      </c>
    </row>
    <row r="110" spans="4:5" x14ac:dyDescent="0.3">
      <c r="D110">
        <v>2466</v>
      </c>
      <c r="E110">
        <f t="shared" si="5"/>
        <v>6.7561643835616438</v>
      </c>
    </row>
    <row r="111" spans="4:5" x14ac:dyDescent="0.3">
      <c r="D111">
        <v>2468</v>
      </c>
      <c r="E111">
        <f t="shared" si="5"/>
        <v>6.7616438356164386</v>
      </c>
    </row>
    <row r="112" spans="4:5" x14ac:dyDescent="0.3">
      <c r="D112">
        <v>2475</v>
      </c>
      <c r="E112">
        <f t="shared" si="5"/>
        <v>6.7808219178082192</v>
      </c>
    </row>
    <row r="113" spans="4:5" x14ac:dyDescent="0.3">
      <c r="D113">
        <v>2503</v>
      </c>
      <c r="E113">
        <f t="shared" si="5"/>
        <v>6.8575342465753426</v>
      </c>
    </row>
    <row r="114" spans="4:5" x14ac:dyDescent="0.3">
      <c r="D114">
        <v>2504</v>
      </c>
      <c r="E114">
        <f t="shared" si="5"/>
        <v>6.86027397260274</v>
      </c>
    </row>
    <row r="115" spans="4:5" x14ac:dyDescent="0.3">
      <c r="D115">
        <v>2527</v>
      </c>
      <c r="E115">
        <f t="shared" si="5"/>
        <v>6.9232876712328766</v>
      </c>
    </row>
    <row r="116" spans="4:5" x14ac:dyDescent="0.3">
      <c r="D116">
        <v>2540</v>
      </c>
      <c r="E116">
        <f t="shared" si="5"/>
        <v>6.9589041095890414</v>
      </c>
    </row>
    <row r="117" spans="4:5" x14ac:dyDescent="0.3">
      <c r="D117">
        <v>2555</v>
      </c>
      <c r="E117">
        <f t="shared" si="5"/>
        <v>7</v>
      </c>
    </row>
    <row r="118" spans="4:5" x14ac:dyDescent="0.3">
      <c r="D118">
        <v>2556</v>
      </c>
      <c r="E118">
        <f t="shared" si="5"/>
        <v>7.0027397260273974</v>
      </c>
    </row>
    <row r="119" spans="4:5" x14ac:dyDescent="0.3">
      <c r="D119">
        <v>2563</v>
      </c>
      <c r="E119">
        <f>D119/365</f>
        <v>7.021917808219178</v>
      </c>
    </row>
    <row r="120" spans="4:5" x14ac:dyDescent="0.3">
      <c r="D120">
        <v>2573</v>
      </c>
      <c r="E120">
        <f>D120/365</f>
        <v>7.0493150684931507</v>
      </c>
    </row>
    <row r="121" spans="4:5" x14ac:dyDescent="0.3">
      <c r="D121">
        <v>2574</v>
      </c>
      <c r="E121">
        <f>D121/365</f>
        <v>7.0520547945205481</v>
      </c>
    </row>
    <row r="122" spans="4:5" x14ac:dyDescent="0.3">
      <c r="D122">
        <v>2576</v>
      </c>
      <c r="E122">
        <f>D122/365</f>
        <v>7.0575342465753428</v>
      </c>
    </row>
    <row r="123" spans="4:5" x14ac:dyDescent="0.3">
      <c r="D123">
        <v>2580</v>
      </c>
      <c r="E123">
        <f t="shared" ref="E123:E137" si="6">D123/365</f>
        <v>7.0684931506849313</v>
      </c>
    </row>
    <row r="124" spans="4:5" x14ac:dyDescent="0.3">
      <c r="D124">
        <v>2583</v>
      </c>
      <c r="E124">
        <f t="shared" si="6"/>
        <v>7.0767123287671234</v>
      </c>
    </row>
    <row r="125" spans="4:5" x14ac:dyDescent="0.3">
      <c r="D125">
        <v>2598</v>
      </c>
      <c r="E125">
        <f t="shared" si="6"/>
        <v>7.117808219178082</v>
      </c>
    </row>
    <row r="126" spans="4:5" x14ac:dyDescent="0.3">
      <c r="D126">
        <v>2609</v>
      </c>
      <c r="E126">
        <f t="shared" si="6"/>
        <v>7.1479452054794521</v>
      </c>
    </row>
    <row r="127" spans="4:5" x14ac:dyDescent="0.3">
      <c r="D127">
        <v>2615</v>
      </c>
      <c r="E127">
        <f t="shared" si="6"/>
        <v>7.1643835616438354</v>
      </c>
    </row>
    <row r="128" spans="4:5" x14ac:dyDescent="0.3">
      <c r="D128">
        <v>2624</v>
      </c>
      <c r="E128">
        <f t="shared" si="6"/>
        <v>7.1890410958904107</v>
      </c>
    </row>
    <row r="129" spans="4:5" x14ac:dyDescent="0.3">
      <c r="D129">
        <v>2644</v>
      </c>
      <c r="E129">
        <f t="shared" si="6"/>
        <v>7.2438356164383562</v>
      </c>
    </row>
    <row r="130" spans="4:5" x14ac:dyDescent="0.3">
      <c r="D130">
        <v>2657</v>
      </c>
      <c r="E130">
        <f t="shared" si="6"/>
        <v>7.279452054794521</v>
      </c>
    </row>
    <row r="131" spans="4:5" x14ac:dyDescent="0.3">
      <c r="D131">
        <v>2666</v>
      </c>
      <c r="E131">
        <f t="shared" si="6"/>
        <v>7.3041095890410963</v>
      </c>
    </row>
    <row r="132" spans="4:5" x14ac:dyDescent="0.3">
      <c r="D132">
        <v>2689</v>
      </c>
      <c r="E132">
        <f t="shared" si="6"/>
        <v>7.3671232876712329</v>
      </c>
    </row>
    <row r="133" spans="4:5" x14ac:dyDescent="0.3">
      <c r="D133">
        <v>2692</v>
      </c>
      <c r="E133">
        <f t="shared" si="6"/>
        <v>7.375342465753425</v>
      </c>
    </row>
    <row r="134" spans="4:5" x14ac:dyDescent="0.3">
      <c r="D134">
        <v>2713</v>
      </c>
      <c r="E134">
        <f t="shared" si="6"/>
        <v>7.4328767123287669</v>
      </c>
    </row>
    <row r="135" spans="4:5" x14ac:dyDescent="0.3">
      <c r="D135">
        <v>2721</v>
      </c>
      <c r="E135">
        <f t="shared" si="6"/>
        <v>7.4547945205479449</v>
      </c>
    </row>
    <row r="136" spans="4:5" x14ac:dyDescent="0.3">
      <c r="D136">
        <v>2769</v>
      </c>
      <c r="E136">
        <f t="shared" si="6"/>
        <v>7.5863013698630137</v>
      </c>
    </row>
    <row r="137" spans="4:5" x14ac:dyDescent="0.3">
      <c r="D137">
        <v>2772</v>
      </c>
      <c r="E137">
        <f t="shared" si="6"/>
        <v>7.5945205479452058</v>
      </c>
    </row>
    <row r="138" spans="4:5" x14ac:dyDescent="0.3">
      <c r="D138">
        <v>2796</v>
      </c>
      <c r="E138">
        <f>D138/365</f>
        <v>7.6602739726027398</v>
      </c>
    </row>
    <row r="139" spans="4:5" x14ac:dyDescent="0.3">
      <c r="D139">
        <v>2797</v>
      </c>
      <c r="E139">
        <f>D139/365</f>
        <v>7.6630136986301371</v>
      </c>
    </row>
    <row r="140" spans="4:5" x14ac:dyDescent="0.3">
      <c r="D140">
        <v>2835</v>
      </c>
      <c r="E140">
        <f>D140/365</f>
        <v>7.7671232876712333</v>
      </c>
    </row>
    <row r="141" spans="4:5" x14ac:dyDescent="0.3">
      <c r="D141">
        <v>2847</v>
      </c>
      <c r="E141">
        <f>D141/365</f>
        <v>7.8</v>
      </c>
    </row>
    <row r="142" spans="4:5" x14ac:dyDescent="0.3">
      <c r="D142">
        <v>2863</v>
      </c>
      <c r="E142">
        <f t="shared" ref="E142:E158" si="7">D142/365</f>
        <v>7.8438356164383558</v>
      </c>
    </row>
    <row r="143" spans="4:5" x14ac:dyDescent="0.3">
      <c r="D143">
        <v>2870</v>
      </c>
      <c r="E143">
        <f t="shared" si="7"/>
        <v>7.8630136986301373</v>
      </c>
    </row>
    <row r="144" spans="4:5" x14ac:dyDescent="0.3">
      <c r="D144">
        <v>2891</v>
      </c>
      <c r="E144">
        <f t="shared" si="7"/>
        <v>7.9205479452054792</v>
      </c>
    </row>
    <row r="145" spans="4:5" x14ac:dyDescent="0.3">
      <c r="D145">
        <v>2944</v>
      </c>
      <c r="E145">
        <f t="shared" si="7"/>
        <v>8.0657534246575349</v>
      </c>
    </row>
    <row r="146" spans="4:5" x14ac:dyDescent="0.3">
      <c r="D146">
        <v>2976</v>
      </c>
      <c r="E146">
        <f t="shared" si="7"/>
        <v>8.1534246575342468</v>
      </c>
    </row>
    <row r="147" spans="4:5" x14ac:dyDescent="0.3">
      <c r="D147">
        <v>2990</v>
      </c>
      <c r="E147">
        <f t="shared" si="7"/>
        <v>8.1917808219178081</v>
      </c>
    </row>
    <row r="148" spans="4:5" x14ac:dyDescent="0.3">
      <c r="D148">
        <v>2995</v>
      </c>
      <c r="E148">
        <f t="shared" si="7"/>
        <v>8.205479452054794</v>
      </c>
    </row>
    <row r="149" spans="4:5" x14ac:dyDescent="0.3">
      <c r="D149">
        <v>3050</v>
      </c>
      <c r="E149">
        <f t="shared" si="7"/>
        <v>8.3561643835616444</v>
      </c>
    </row>
    <row r="150" spans="4:5" x14ac:dyDescent="0.3">
      <c r="D150">
        <v>3059</v>
      </c>
      <c r="E150">
        <f t="shared" si="7"/>
        <v>8.3808219178082197</v>
      </c>
    </row>
    <row r="151" spans="4:5" x14ac:dyDescent="0.3">
      <c r="D151">
        <v>3069</v>
      </c>
      <c r="E151">
        <f t="shared" si="7"/>
        <v>8.4082191780821915</v>
      </c>
    </row>
    <row r="152" spans="4:5" x14ac:dyDescent="0.3">
      <c r="D152">
        <v>3086</v>
      </c>
      <c r="E152">
        <f t="shared" si="7"/>
        <v>8.4547945205479458</v>
      </c>
    </row>
    <row r="153" spans="4:5" x14ac:dyDescent="0.3">
      <c r="D153">
        <v>3090</v>
      </c>
      <c r="E153">
        <f t="shared" si="7"/>
        <v>8.4657534246575334</v>
      </c>
    </row>
    <row r="154" spans="4:5" x14ac:dyDescent="0.3">
      <c r="D154">
        <v>3092</v>
      </c>
      <c r="E154">
        <f t="shared" si="7"/>
        <v>8.4712328767123282</v>
      </c>
    </row>
    <row r="155" spans="4:5" x14ac:dyDescent="0.3">
      <c r="D155">
        <v>3098</v>
      </c>
      <c r="E155">
        <f t="shared" si="7"/>
        <v>8.4876712328767123</v>
      </c>
    </row>
    <row r="156" spans="4:5" x14ac:dyDescent="0.3">
      <c r="D156">
        <v>3099</v>
      </c>
      <c r="E156">
        <f t="shared" si="7"/>
        <v>8.4904109589041088</v>
      </c>
    </row>
    <row r="157" spans="4:5" x14ac:dyDescent="0.3">
      <c r="D157">
        <v>3149</v>
      </c>
      <c r="E157">
        <f t="shared" si="7"/>
        <v>8.6273972602739732</v>
      </c>
    </row>
    <row r="158" spans="4:5" x14ac:dyDescent="0.3">
      <c r="D158">
        <v>3150</v>
      </c>
      <c r="E158">
        <f t="shared" si="7"/>
        <v>8.6301369863013697</v>
      </c>
    </row>
    <row r="159" spans="4:5" x14ac:dyDescent="0.3">
      <c r="D159">
        <v>3170</v>
      </c>
      <c r="E159">
        <f>D159/365</f>
        <v>8.6849315068493151</v>
      </c>
    </row>
    <row r="160" spans="4:5" x14ac:dyDescent="0.3">
      <c r="D160">
        <v>3222</v>
      </c>
      <c r="E160">
        <f>D160/365</f>
        <v>8.8273972602739725</v>
      </c>
    </row>
    <row r="161" spans="4:5" x14ac:dyDescent="0.3">
      <c r="D161">
        <v>3239</v>
      </c>
      <c r="E161">
        <f>D161/365</f>
        <v>8.8739726027397268</v>
      </c>
    </row>
    <row r="162" spans="4:5" x14ac:dyDescent="0.3">
      <c r="D162">
        <v>3244</v>
      </c>
      <c r="E162">
        <f>D162/365</f>
        <v>8.8876712328767127</v>
      </c>
    </row>
    <row r="163" spans="4:5" x14ac:dyDescent="0.3">
      <c r="D163">
        <v>3255</v>
      </c>
      <c r="E163">
        <f t="shared" ref="E163:E180" si="8">D163/365</f>
        <v>8.9178082191780828</v>
      </c>
    </row>
    <row r="164" spans="4:5" x14ac:dyDescent="0.3">
      <c r="D164">
        <v>3282</v>
      </c>
      <c r="E164">
        <f t="shared" si="8"/>
        <v>8.9917808219178088</v>
      </c>
    </row>
    <row r="165" spans="4:5" x14ac:dyDescent="0.3">
      <c r="D165">
        <v>3297</v>
      </c>
      <c r="E165">
        <f t="shared" si="8"/>
        <v>9.0328767123287665</v>
      </c>
    </row>
    <row r="166" spans="4:5" x14ac:dyDescent="0.3">
      <c r="D166">
        <v>3336</v>
      </c>
      <c r="E166">
        <f t="shared" si="8"/>
        <v>9.1397260273972609</v>
      </c>
    </row>
    <row r="167" spans="4:5" x14ac:dyDescent="0.3">
      <c r="D167">
        <v>3358</v>
      </c>
      <c r="E167">
        <f t="shared" si="8"/>
        <v>9.1999999999999993</v>
      </c>
    </row>
    <row r="168" spans="4:5" x14ac:dyDescent="0.3">
      <c r="D168">
        <v>3388</v>
      </c>
      <c r="E168">
        <f t="shared" si="8"/>
        <v>9.2821917808219183</v>
      </c>
    </row>
    <row r="169" spans="4:5" x14ac:dyDescent="0.3">
      <c r="D169">
        <v>3395</v>
      </c>
      <c r="E169">
        <f t="shared" si="8"/>
        <v>9.3013698630136989</v>
      </c>
    </row>
    <row r="170" spans="4:5" x14ac:dyDescent="0.3">
      <c r="D170">
        <v>3422</v>
      </c>
      <c r="E170">
        <f t="shared" si="8"/>
        <v>9.375342465753425</v>
      </c>
    </row>
    <row r="171" spans="4:5" x14ac:dyDescent="0.3">
      <c r="D171">
        <v>3428</v>
      </c>
      <c r="E171">
        <f t="shared" si="8"/>
        <v>9.3917808219178074</v>
      </c>
    </row>
    <row r="172" spans="4:5" x14ac:dyDescent="0.3">
      <c r="D172">
        <v>3445</v>
      </c>
      <c r="E172">
        <f t="shared" si="8"/>
        <v>9.4383561643835616</v>
      </c>
    </row>
    <row r="173" spans="4:5" x14ac:dyDescent="0.3">
      <c r="D173">
        <v>3445</v>
      </c>
      <c r="E173">
        <f t="shared" si="8"/>
        <v>9.4383561643835616</v>
      </c>
    </row>
    <row r="174" spans="4:5" x14ac:dyDescent="0.3">
      <c r="D174">
        <v>3458</v>
      </c>
      <c r="E174">
        <f t="shared" si="8"/>
        <v>9.4739726027397264</v>
      </c>
    </row>
    <row r="175" spans="4:5" x14ac:dyDescent="0.3">
      <c r="D175">
        <v>3574</v>
      </c>
      <c r="E175">
        <f t="shared" si="8"/>
        <v>9.7917808219178077</v>
      </c>
    </row>
    <row r="176" spans="4:5" x14ac:dyDescent="0.3">
      <c r="D176">
        <v>3577</v>
      </c>
      <c r="E176">
        <f t="shared" si="8"/>
        <v>9.8000000000000007</v>
      </c>
    </row>
    <row r="177" spans="4:5" x14ac:dyDescent="0.3">
      <c r="D177">
        <v>3581</v>
      </c>
      <c r="E177">
        <f t="shared" si="8"/>
        <v>9.8109589041095884</v>
      </c>
    </row>
    <row r="178" spans="4:5" x14ac:dyDescent="0.3">
      <c r="D178">
        <v>3584</v>
      </c>
      <c r="E178">
        <f t="shared" si="8"/>
        <v>9.8191780821917813</v>
      </c>
    </row>
    <row r="179" spans="4:5" x14ac:dyDescent="0.3">
      <c r="D179">
        <v>3611</v>
      </c>
      <c r="E179">
        <f t="shared" si="8"/>
        <v>9.8931506849315074</v>
      </c>
    </row>
    <row r="180" spans="4:5" x14ac:dyDescent="0.3">
      <c r="D180">
        <v>3672</v>
      </c>
      <c r="E180">
        <f t="shared" si="8"/>
        <v>10.06027397260274</v>
      </c>
    </row>
    <row r="181" spans="4:5" x14ac:dyDescent="0.3">
      <c r="D181">
        <v>3707</v>
      </c>
      <c r="E181">
        <f t="shared" ref="E181:E189" si="9">D181/365</f>
        <v>10.156164383561643</v>
      </c>
    </row>
    <row r="182" spans="4:5" x14ac:dyDescent="0.3">
      <c r="D182">
        <v>3762</v>
      </c>
      <c r="E182">
        <f t="shared" si="9"/>
        <v>10.306849315068494</v>
      </c>
    </row>
    <row r="183" spans="4:5" x14ac:dyDescent="0.3">
      <c r="D183">
        <v>3820</v>
      </c>
      <c r="E183">
        <f t="shared" si="9"/>
        <v>10.465753424657533</v>
      </c>
    </row>
    <row r="184" spans="4:5" x14ac:dyDescent="0.3">
      <c r="D184">
        <v>3823</v>
      </c>
      <c r="E184">
        <f t="shared" si="9"/>
        <v>10.473972602739726</v>
      </c>
    </row>
    <row r="185" spans="4:5" x14ac:dyDescent="0.3">
      <c r="D185">
        <v>3839</v>
      </c>
      <c r="E185">
        <f t="shared" si="9"/>
        <v>10.517808219178082</v>
      </c>
    </row>
    <row r="186" spans="4:5" x14ac:dyDescent="0.3">
      <c r="D186">
        <v>3850</v>
      </c>
      <c r="E186">
        <f t="shared" si="9"/>
        <v>10.547945205479452</v>
      </c>
    </row>
    <row r="187" spans="4:5" x14ac:dyDescent="0.3">
      <c r="D187">
        <v>3853</v>
      </c>
      <c r="E187">
        <f t="shared" si="9"/>
        <v>10.556164383561644</v>
      </c>
    </row>
    <row r="188" spans="4:5" x14ac:dyDescent="0.3">
      <c r="D188">
        <v>3913</v>
      </c>
      <c r="E188">
        <f t="shared" si="9"/>
        <v>10.72054794520548</v>
      </c>
    </row>
    <row r="189" spans="4:5" x14ac:dyDescent="0.3">
      <c r="D189">
        <v>3933</v>
      </c>
      <c r="E189">
        <f t="shared" si="9"/>
        <v>10.775342465753425</v>
      </c>
    </row>
    <row r="190" spans="4:5" x14ac:dyDescent="0.3">
      <c r="D190">
        <v>3992</v>
      </c>
      <c r="E190">
        <f t="shared" ref="E190:E203" si="10">D190/365</f>
        <v>10.936986301369863</v>
      </c>
    </row>
    <row r="191" spans="4:5" x14ac:dyDescent="0.3">
      <c r="D191">
        <v>4025</v>
      </c>
      <c r="E191">
        <f t="shared" si="10"/>
        <v>11.027397260273972</v>
      </c>
    </row>
    <row r="192" spans="4:5" x14ac:dyDescent="0.3">
      <c r="D192">
        <v>4032</v>
      </c>
      <c r="E192">
        <f t="shared" si="10"/>
        <v>11.046575342465754</v>
      </c>
    </row>
    <row r="193" spans="4:5" x14ac:dyDescent="0.3">
      <c r="D193">
        <v>4039</v>
      </c>
      <c r="E193">
        <f t="shared" si="10"/>
        <v>11.065753424657535</v>
      </c>
    </row>
    <row r="194" spans="4:5" x14ac:dyDescent="0.3">
      <c r="D194">
        <v>4050</v>
      </c>
      <c r="E194">
        <f t="shared" si="10"/>
        <v>11.095890410958905</v>
      </c>
    </row>
    <row r="195" spans="4:5" x14ac:dyDescent="0.3">
      <c r="D195">
        <v>4079</v>
      </c>
      <c r="E195">
        <f t="shared" si="10"/>
        <v>11.175342465753424</v>
      </c>
    </row>
    <row r="196" spans="4:5" x14ac:dyDescent="0.3">
      <c r="D196">
        <v>4127</v>
      </c>
      <c r="E196">
        <f t="shared" si="10"/>
        <v>11.306849315068494</v>
      </c>
    </row>
    <row r="197" spans="4:5" x14ac:dyDescent="0.3">
      <c r="D197">
        <v>4184</v>
      </c>
      <c r="E197">
        <f t="shared" si="10"/>
        <v>11.463013698630137</v>
      </c>
    </row>
    <row r="198" spans="4:5" x14ac:dyDescent="0.3">
      <c r="D198">
        <v>4190</v>
      </c>
      <c r="E198">
        <f t="shared" si="10"/>
        <v>11.479452054794521</v>
      </c>
    </row>
    <row r="199" spans="4:5" x14ac:dyDescent="0.3">
      <c r="D199">
        <v>4191</v>
      </c>
      <c r="E199">
        <f t="shared" si="10"/>
        <v>11.482191780821918</v>
      </c>
    </row>
    <row r="200" spans="4:5" x14ac:dyDescent="0.3">
      <c r="D200">
        <v>4196</v>
      </c>
      <c r="E200">
        <f t="shared" si="10"/>
        <v>11.495890410958904</v>
      </c>
    </row>
    <row r="201" spans="4:5" x14ac:dyDescent="0.3">
      <c r="D201">
        <v>4232</v>
      </c>
      <c r="E201">
        <f t="shared" si="10"/>
        <v>11.594520547945205</v>
      </c>
    </row>
    <row r="202" spans="4:5" x14ac:dyDescent="0.3">
      <c r="D202">
        <v>4256</v>
      </c>
      <c r="E202">
        <f t="shared" si="10"/>
        <v>11.66027397260274</v>
      </c>
    </row>
    <row r="203" spans="4:5" x14ac:dyDescent="0.3">
      <c r="D203">
        <v>4365</v>
      </c>
      <c r="E203">
        <f t="shared" si="10"/>
        <v>11.95890410958904</v>
      </c>
    </row>
    <row r="204" spans="4:5" x14ac:dyDescent="0.3">
      <c r="D204">
        <v>4427</v>
      </c>
      <c r="E204">
        <f t="shared" ref="E204:E211" si="11">D204/365</f>
        <v>12.128767123287671</v>
      </c>
    </row>
    <row r="205" spans="4:5" x14ac:dyDescent="0.3">
      <c r="D205">
        <v>4453</v>
      </c>
      <c r="E205">
        <f t="shared" si="11"/>
        <v>12.2</v>
      </c>
    </row>
    <row r="206" spans="4:5" x14ac:dyDescent="0.3">
      <c r="D206">
        <v>4459</v>
      </c>
      <c r="E206">
        <f t="shared" si="11"/>
        <v>12.216438356164383</v>
      </c>
    </row>
    <row r="207" spans="4:5" x14ac:dyDescent="0.3">
      <c r="D207">
        <v>4467</v>
      </c>
      <c r="E207">
        <f t="shared" si="11"/>
        <v>12.238356164383562</v>
      </c>
    </row>
    <row r="208" spans="4:5" x14ac:dyDescent="0.3">
      <c r="D208">
        <v>4500</v>
      </c>
      <c r="E208">
        <f t="shared" si="11"/>
        <v>12.328767123287671</v>
      </c>
    </row>
    <row r="209" spans="3:5" x14ac:dyDescent="0.3">
      <c r="D209">
        <v>4509</v>
      </c>
      <c r="E209">
        <f t="shared" si="11"/>
        <v>12.353424657534246</v>
      </c>
    </row>
    <row r="210" spans="3:5" x14ac:dyDescent="0.3">
      <c r="D210">
        <v>4523</v>
      </c>
      <c r="E210">
        <f t="shared" si="11"/>
        <v>12.391780821917807</v>
      </c>
    </row>
    <row r="211" spans="3:5" x14ac:dyDescent="0.3">
      <c r="D211">
        <v>4556</v>
      </c>
      <c r="E211">
        <f t="shared" si="11"/>
        <v>12.482191780821918</v>
      </c>
    </row>
    <row r="213" spans="3:5" x14ac:dyDescent="0.3">
      <c r="C213" t="s">
        <v>47</v>
      </c>
      <c r="D213" s="3">
        <f>AVERAGE(D$3:D$211)</f>
        <v>2269.22009569378</v>
      </c>
    </row>
    <row r="215" spans="3:5" ht="15.6" x14ac:dyDescent="0.3">
      <c r="C215" t="s">
        <v>48</v>
      </c>
      <c r="D215" s="4">
        <f>STDEV(D$3:D$211)</f>
        <v>1237.3502898478384</v>
      </c>
    </row>
    <row r="218" spans="3:5" x14ac:dyDescent="0.3">
      <c r="C218" t="s">
        <v>49</v>
      </c>
      <c r="D218">
        <f>MIN(D$3:D$211)</f>
        <v>51</v>
      </c>
    </row>
    <row r="220" spans="3:5" x14ac:dyDescent="0.3">
      <c r="C220" t="s">
        <v>50</v>
      </c>
      <c r="D220" s="3">
        <f>QUARTILE(D$3:D$211,1)</f>
        <v>1212</v>
      </c>
    </row>
    <row r="222" spans="3:5" x14ac:dyDescent="0.3">
      <c r="C222" t="s">
        <v>51</v>
      </c>
      <c r="D222" s="3">
        <f>MEDIAN(D$3:D$211)</f>
        <v>2400</v>
      </c>
    </row>
    <row r="224" spans="3:5" x14ac:dyDescent="0.3">
      <c r="C224" t="s">
        <v>52</v>
      </c>
      <c r="D224">
        <f>QUARTILE(D$3:D$211,3)</f>
        <v>3170</v>
      </c>
    </row>
    <row r="226" spans="3:4" x14ac:dyDescent="0.3">
      <c r="C226" t="s">
        <v>53</v>
      </c>
      <c r="D226">
        <f>MAX(D$3:D$211)</f>
        <v>4556</v>
      </c>
    </row>
    <row r="228" spans="3:4" x14ac:dyDescent="0.3">
      <c r="C228" t="s">
        <v>54</v>
      </c>
      <c r="D228">
        <f>D226-D218</f>
        <v>4505</v>
      </c>
    </row>
    <row r="230" spans="3:4" x14ac:dyDescent="0.3">
      <c r="C230" t="s">
        <v>55</v>
      </c>
      <c r="D230">
        <f>D220-D224</f>
        <v>-1958</v>
      </c>
    </row>
    <row r="232" spans="3:4" x14ac:dyDescent="0.3">
      <c r="C232" t="s">
        <v>56</v>
      </c>
      <c r="D232">
        <f>MODE(D$3:D$211)</f>
        <v>264</v>
      </c>
    </row>
  </sheetData>
  <sortState xmlns:xlrd2="http://schemas.microsoft.com/office/spreadsheetml/2017/richdata2" ref="D3:D211">
    <sortCondition ref="D3:D211"/>
  </sortState>
  <pageMargins left="0.7" right="0.7" top="0.75" bottom="0.75" header="0.3" footer="0.3"/>
  <pageSetup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B40B5-4A21-4013-A37D-E925CF53F279}">
  <dimension ref="A1:L232"/>
  <sheetViews>
    <sheetView topLeftCell="D202" workbookViewId="0">
      <selection activeCell="K19" sqref="K19"/>
    </sheetView>
  </sheetViews>
  <sheetFormatPr defaultRowHeight="14.4" x14ac:dyDescent="0.3"/>
  <cols>
    <col min="4" max="4" width="13.6640625" customWidth="1"/>
    <col min="7" max="7" width="21.44140625" customWidth="1"/>
    <col min="11" max="11" width="28.88671875" customWidth="1"/>
    <col min="12" max="12" width="10.5546875" customWidth="1"/>
  </cols>
  <sheetData>
    <row r="1" spans="1:12" x14ac:dyDescent="0.3">
      <c r="C1">
        <v>2</v>
      </c>
      <c r="D1">
        <v>2</v>
      </c>
    </row>
    <row r="2" spans="1:12" x14ac:dyDescent="0.3">
      <c r="C2" t="s">
        <v>1</v>
      </c>
      <c r="D2" t="s">
        <v>81</v>
      </c>
    </row>
    <row r="3" spans="1:12" x14ac:dyDescent="0.3">
      <c r="A3" t="s">
        <v>82</v>
      </c>
      <c r="C3" t="s">
        <v>23</v>
      </c>
      <c r="D3">
        <v>1</v>
      </c>
      <c r="G3" s="26"/>
      <c r="H3" s="26"/>
      <c r="K3" t="s">
        <v>58</v>
      </c>
      <c r="L3" t="s">
        <v>83</v>
      </c>
    </row>
    <row r="4" spans="1:12" x14ac:dyDescent="0.3">
      <c r="A4" t="s">
        <v>84</v>
      </c>
      <c r="C4" t="s">
        <v>23</v>
      </c>
      <c r="D4">
        <v>1</v>
      </c>
      <c r="K4" t="s">
        <v>60</v>
      </c>
      <c r="L4" t="s">
        <v>61</v>
      </c>
    </row>
    <row r="5" spans="1:12" x14ac:dyDescent="0.3">
      <c r="A5" t="s">
        <v>85</v>
      </c>
      <c r="C5" t="s">
        <v>23</v>
      </c>
      <c r="D5">
        <v>1</v>
      </c>
    </row>
    <row r="6" spans="1:12" x14ac:dyDescent="0.3">
      <c r="C6" t="s">
        <v>23</v>
      </c>
      <c r="D6">
        <v>1</v>
      </c>
      <c r="K6" t="s">
        <v>62</v>
      </c>
    </row>
    <row r="7" spans="1:12" x14ac:dyDescent="0.3">
      <c r="C7" t="s">
        <v>23</v>
      </c>
      <c r="D7">
        <v>1</v>
      </c>
      <c r="K7" t="s">
        <v>64</v>
      </c>
      <c r="L7" t="s">
        <v>86</v>
      </c>
    </row>
    <row r="8" spans="1:12" x14ac:dyDescent="0.3">
      <c r="C8" t="s">
        <v>23</v>
      </c>
      <c r="D8">
        <v>1</v>
      </c>
      <c r="K8" t="s">
        <v>87</v>
      </c>
      <c r="L8">
        <f>COUNT(D3:D94)</f>
        <v>92</v>
      </c>
    </row>
    <row r="9" spans="1:12" x14ac:dyDescent="0.3">
      <c r="C9" t="s">
        <v>23</v>
      </c>
      <c r="D9">
        <v>1</v>
      </c>
      <c r="K9" t="s">
        <v>88</v>
      </c>
      <c r="L9">
        <f>COUNT(D95:D101)</f>
        <v>7</v>
      </c>
    </row>
    <row r="10" spans="1:12" x14ac:dyDescent="0.3">
      <c r="C10" t="s">
        <v>23</v>
      </c>
      <c r="D10">
        <v>1</v>
      </c>
      <c r="K10" t="s">
        <v>89</v>
      </c>
      <c r="L10">
        <f>COUNT(D102:D211)</f>
        <v>110</v>
      </c>
    </row>
    <row r="11" spans="1:12" x14ac:dyDescent="0.3">
      <c r="C11" t="s">
        <v>23</v>
      </c>
      <c r="D11">
        <v>1</v>
      </c>
    </row>
    <row r="12" spans="1:12" x14ac:dyDescent="0.3">
      <c r="C12" t="s">
        <v>23</v>
      </c>
      <c r="D12">
        <v>1</v>
      </c>
    </row>
    <row r="13" spans="1:12" x14ac:dyDescent="0.3">
      <c r="C13" t="s">
        <v>23</v>
      </c>
      <c r="D13">
        <v>1</v>
      </c>
    </row>
    <row r="14" spans="1:12" x14ac:dyDescent="0.3">
      <c r="C14" t="s">
        <v>23</v>
      </c>
      <c r="D14">
        <v>1</v>
      </c>
    </row>
    <row r="15" spans="1:12" x14ac:dyDescent="0.3">
      <c r="C15" t="s">
        <v>23</v>
      </c>
      <c r="D15">
        <v>1</v>
      </c>
    </row>
    <row r="16" spans="1:12" x14ac:dyDescent="0.3">
      <c r="C16" t="s">
        <v>23</v>
      </c>
      <c r="D16">
        <v>1</v>
      </c>
    </row>
    <row r="17" spans="3:4" x14ac:dyDescent="0.3">
      <c r="C17" t="s">
        <v>23</v>
      </c>
      <c r="D17">
        <v>1</v>
      </c>
    </row>
    <row r="18" spans="3:4" x14ac:dyDescent="0.3">
      <c r="C18" t="s">
        <v>23</v>
      </c>
      <c r="D18">
        <v>1</v>
      </c>
    </row>
    <row r="19" spans="3:4" x14ac:dyDescent="0.3">
      <c r="C19" t="s">
        <v>23</v>
      </c>
      <c r="D19">
        <v>1</v>
      </c>
    </row>
    <row r="20" spans="3:4" x14ac:dyDescent="0.3">
      <c r="C20" t="s">
        <v>23</v>
      </c>
      <c r="D20">
        <v>1</v>
      </c>
    </row>
    <row r="21" spans="3:4" x14ac:dyDescent="0.3">
      <c r="C21" t="s">
        <v>23</v>
      </c>
      <c r="D21">
        <v>1</v>
      </c>
    </row>
    <row r="22" spans="3:4" x14ac:dyDescent="0.3">
      <c r="C22" t="s">
        <v>23</v>
      </c>
      <c r="D22">
        <v>1</v>
      </c>
    </row>
    <row r="23" spans="3:4" x14ac:dyDescent="0.3">
      <c r="C23" t="s">
        <v>23</v>
      </c>
      <c r="D23">
        <v>1</v>
      </c>
    </row>
    <row r="24" spans="3:4" x14ac:dyDescent="0.3">
      <c r="C24" t="s">
        <v>23</v>
      </c>
      <c r="D24">
        <v>1</v>
      </c>
    </row>
    <row r="25" spans="3:4" x14ac:dyDescent="0.3">
      <c r="C25" t="s">
        <v>23</v>
      </c>
      <c r="D25">
        <v>1</v>
      </c>
    </row>
    <row r="26" spans="3:4" x14ac:dyDescent="0.3">
      <c r="C26" t="s">
        <v>23</v>
      </c>
      <c r="D26">
        <v>1</v>
      </c>
    </row>
    <row r="27" spans="3:4" x14ac:dyDescent="0.3">
      <c r="C27" t="s">
        <v>23</v>
      </c>
      <c r="D27">
        <v>1</v>
      </c>
    </row>
    <row r="28" spans="3:4" x14ac:dyDescent="0.3">
      <c r="C28" t="s">
        <v>23</v>
      </c>
      <c r="D28">
        <v>1</v>
      </c>
    </row>
    <row r="29" spans="3:4" x14ac:dyDescent="0.3">
      <c r="C29" t="s">
        <v>23</v>
      </c>
      <c r="D29">
        <v>1</v>
      </c>
    </row>
    <row r="30" spans="3:4" x14ac:dyDescent="0.3">
      <c r="C30" t="s">
        <v>23</v>
      </c>
      <c r="D30">
        <v>1</v>
      </c>
    </row>
    <row r="31" spans="3:4" x14ac:dyDescent="0.3">
      <c r="C31" t="s">
        <v>23</v>
      </c>
      <c r="D31">
        <v>1</v>
      </c>
    </row>
    <row r="32" spans="3:4" x14ac:dyDescent="0.3">
      <c r="C32" t="s">
        <v>23</v>
      </c>
      <c r="D32">
        <v>1</v>
      </c>
    </row>
    <row r="33" spans="3:4" x14ac:dyDescent="0.3">
      <c r="C33" t="s">
        <v>23</v>
      </c>
      <c r="D33">
        <v>1</v>
      </c>
    </row>
    <row r="34" spans="3:4" x14ac:dyDescent="0.3">
      <c r="C34" t="s">
        <v>23</v>
      </c>
      <c r="D34">
        <v>1</v>
      </c>
    </row>
    <row r="35" spans="3:4" x14ac:dyDescent="0.3">
      <c r="C35" t="s">
        <v>23</v>
      </c>
      <c r="D35">
        <v>1</v>
      </c>
    </row>
    <row r="36" spans="3:4" x14ac:dyDescent="0.3">
      <c r="C36" t="s">
        <v>23</v>
      </c>
      <c r="D36">
        <v>1</v>
      </c>
    </row>
    <row r="37" spans="3:4" x14ac:dyDescent="0.3">
      <c r="C37" t="s">
        <v>23</v>
      </c>
      <c r="D37">
        <v>1</v>
      </c>
    </row>
    <row r="38" spans="3:4" x14ac:dyDescent="0.3">
      <c r="C38" t="s">
        <v>23</v>
      </c>
      <c r="D38">
        <v>1</v>
      </c>
    </row>
    <row r="39" spans="3:4" x14ac:dyDescent="0.3">
      <c r="C39" t="s">
        <v>23</v>
      </c>
      <c r="D39">
        <v>1</v>
      </c>
    </row>
    <row r="40" spans="3:4" x14ac:dyDescent="0.3">
      <c r="C40" t="s">
        <v>23</v>
      </c>
      <c r="D40">
        <v>1</v>
      </c>
    </row>
    <row r="41" spans="3:4" x14ac:dyDescent="0.3">
      <c r="C41" t="s">
        <v>23</v>
      </c>
      <c r="D41">
        <v>1</v>
      </c>
    </row>
    <row r="42" spans="3:4" x14ac:dyDescent="0.3">
      <c r="C42" t="s">
        <v>23</v>
      </c>
      <c r="D42">
        <v>1</v>
      </c>
    </row>
    <row r="43" spans="3:4" x14ac:dyDescent="0.3">
      <c r="C43" t="s">
        <v>23</v>
      </c>
      <c r="D43">
        <v>1</v>
      </c>
    </row>
    <row r="44" spans="3:4" x14ac:dyDescent="0.3">
      <c r="C44" t="s">
        <v>23</v>
      </c>
      <c r="D44">
        <v>1</v>
      </c>
    </row>
    <row r="45" spans="3:4" x14ac:dyDescent="0.3">
      <c r="C45" t="s">
        <v>23</v>
      </c>
      <c r="D45">
        <v>1</v>
      </c>
    </row>
    <row r="46" spans="3:4" x14ac:dyDescent="0.3">
      <c r="C46" t="s">
        <v>23</v>
      </c>
      <c r="D46">
        <v>1</v>
      </c>
    </row>
    <row r="47" spans="3:4" x14ac:dyDescent="0.3">
      <c r="C47" t="s">
        <v>23</v>
      </c>
      <c r="D47">
        <v>1</v>
      </c>
    </row>
    <row r="48" spans="3:4" x14ac:dyDescent="0.3">
      <c r="C48" t="s">
        <v>23</v>
      </c>
      <c r="D48">
        <v>1</v>
      </c>
    </row>
    <row r="49" spans="3:4" x14ac:dyDescent="0.3">
      <c r="C49" t="s">
        <v>23</v>
      </c>
      <c r="D49">
        <v>1</v>
      </c>
    </row>
    <row r="50" spans="3:4" x14ac:dyDescent="0.3">
      <c r="C50" t="s">
        <v>23</v>
      </c>
      <c r="D50">
        <v>1</v>
      </c>
    </row>
    <row r="51" spans="3:4" x14ac:dyDescent="0.3">
      <c r="C51" t="s">
        <v>23</v>
      </c>
      <c r="D51">
        <v>1</v>
      </c>
    </row>
    <row r="52" spans="3:4" x14ac:dyDescent="0.3">
      <c r="C52" t="s">
        <v>23</v>
      </c>
      <c r="D52">
        <v>1</v>
      </c>
    </row>
    <row r="53" spans="3:4" x14ac:dyDescent="0.3">
      <c r="C53" t="s">
        <v>23</v>
      </c>
      <c r="D53">
        <v>1</v>
      </c>
    </row>
    <row r="54" spans="3:4" x14ac:dyDescent="0.3">
      <c r="C54" t="s">
        <v>23</v>
      </c>
      <c r="D54">
        <v>1</v>
      </c>
    </row>
    <row r="55" spans="3:4" x14ac:dyDescent="0.3">
      <c r="C55" t="s">
        <v>23</v>
      </c>
      <c r="D55">
        <v>1</v>
      </c>
    </row>
    <row r="56" spans="3:4" x14ac:dyDescent="0.3">
      <c r="C56" t="s">
        <v>23</v>
      </c>
      <c r="D56">
        <v>1</v>
      </c>
    </row>
    <row r="57" spans="3:4" x14ac:dyDescent="0.3">
      <c r="C57" t="s">
        <v>23</v>
      </c>
      <c r="D57">
        <v>1</v>
      </c>
    </row>
    <row r="58" spans="3:4" x14ac:dyDescent="0.3">
      <c r="C58" t="s">
        <v>23</v>
      </c>
      <c r="D58">
        <v>1</v>
      </c>
    </row>
    <row r="59" spans="3:4" x14ac:dyDescent="0.3">
      <c r="C59" t="s">
        <v>23</v>
      </c>
      <c r="D59">
        <v>1</v>
      </c>
    </row>
    <row r="60" spans="3:4" x14ac:dyDescent="0.3">
      <c r="C60" t="s">
        <v>23</v>
      </c>
      <c r="D60">
        <v>1</v>
      </c>
    </row>
    <row r="61" spans="3:4" x14ac:dyDescent="0.3">
      <c r="C61" t="s">
        <v>23</v>
      </c>
      <c r="D61">
        <v>1</v>
      </c>
    </row>
    <row r="62" spans="3:4" x14ac:dyDescent="0.3">
      <c r="C62" t="s">
        <v>23</v>
      </c>
      <c r="D62">
        <v>1</v>
      </c>
    </row>
    <row r="63" spans="3:4" x14ac:dyDescent="0.3">
      <c r="C63" t="s">
        <v>23</v>
      </c>
      <c r="D63">
        <v>1</v>
      </c>
    </row>
    <row r="64" spans="3:4" x14ac:dyDescent="0.3">
      <c r="C64" t="s">
        <v>23</v>
      </c>
      <c r="D64">
        <v>1</v>
      </c>
    </row>
    <row r="65" spans="3:4" x14ac:dyDescent="0.3">
      <c r="C65" t="s">
        <v>23</v>
      </c>
      <c r="D65">
        <v>1</v>
      </c>
    </row>
    <row r="66" spans="3:4" x14ac:dyDescent="0.3">
      <c r="C66" t="s">
        <v>23</v>
      </c>
      <c r="D66">
        <v>1</v>
      </c>
    </row>
    <row r="67" spans="3:4" x14ac:dyDescent="0.3">
      <c r="C67" t="s">
        <v>23</v>
      </c>
      <c r="D67">
        <v>1</v>
      </c>
    </row>
    <row r="68" spans="3:4" x14ac:dyDescent="0.3">
      <c r="C68" t="s">
        <v>23</v>
      </c>
      <c r="D68">
        <v>1</v>
      </c>
    </row>
    <row r="69" spans="3:4" x14ac:dyDescent="0.3">
      <c r="C69" t="s">
        <v>23</v>
      </c>
      <c r="D69">
        <v>1</v>
      </c>
    </row>
    <row r="70" spans="3:4" x14ac:dyDescent="0.3">
      <c r="C70" t="s">
        <v>23</v>
      </c>
      <c r="D70">
        <v>1</v>
      </c>
    </row>
    <row r="71" spans="3:4" x14ac:dyDescent="0.3">
      <c r="C71" t="s">
        <v>23</v>
      </c>
      <c r="D71">
        <v>1</v>
      </c>
    </row>
    <row r="72" spans="3:4" x14ac:dyDescent="0.3">
      <c r="C72" t="s">
        <v>23</v>
      </c>
      <c r="D72">
        <v>1</v>
      </c>
    </row>
    <row r="73" spans="3:4" x14ac:dyDescent="0.3">
      <c r="C73" t="s">
        <v>23</v>
      </c>
      <c r="D73">
        <v>1</v>
      </c>
    </row>
    <row r="74" spans="3:4" x14ac:dyDescent="0.3">
      <c r="C74" t="s">
        <v>23</v>
      </c>
      <c r="D74">
        <v>1</v>
      </c>
    </row>
    <row r="75" spans="3:4" x14ac:dyDescent="0.3">
      <c r="C75" t="s">
        <v>23</v>
      </c>
      <c r="D75">
        <v>1</v>
      </c>
    </row>
    <row r="76" spans="3:4" x14ac:dyDescent="0.3">
      <c r="C76" t="s">
        <v>23</v>
      </c>
      <c r="D76">
        <v>1</v>
      </c>
    </row>
    <row r="77" spans="3:4" x14ac:dyDescent="0.3">
      <c r="C77" t="s">
        <v>23</v>
      </c>
      <c r="D77">
        <v>1</v>
      </c>
    </row>
    <row r="78" spans="3:4" x14ac:dyDescent="0.3">
      <c r="C78" t="s">
        <v>23</v>
      </c>
      <c r="D78">
        <v>1</v>
      </c>
    </row>
    <row r="79" spans="3:4" x14ac:dyDescent="0.3">
      <c r="C79" t="s">
        <v>23</v>
      </c>
      <c r="D79">
        <v>1</v>
      </c>
    </row>
    <row r="80" spans="3:4" x14ac:dyDescent="0.3">
      <c r="C80" t="s">
        <v>23</v>
      </c>
      <c r="D80">
        <v>1</v>
      </c>
    </row>
    <row r="81" spans="3:4" x14ac:dyDescent="0.3">
      <c r="C81" t="s">
        <v>23</v>
      </c>
      <c r="D81">
        <v>1</v>
      </c>
    </row>
    <row r="82" spans="3:4" x14ac:dyDescent="0.3">
      <c r="C82" t="s">
        <v>23</v>
      </c>
      <c r="D82">
        <v>1</v>
      </c>
    </row>
    <row r="83" spans="3:4" x14ac:dyDescent="0.3">
      <c r="C83" t="s">
        <v>23</v>
      </c>
      <c r="D83">
        <v>1</v>
      </c>
    </row>
    <row r="84" spans="3:4" x14ac:dyDescent="0.3">
      <c r="C84" t="s">
        <v>23</v>
      </c>
      <c r="D84">
        <v>1</v>
      </c>
    </row>
    <row r="85" spans="3:4" x14ac:dyDescent="0.3">
      <c r="C85" t="s">
        <v>23</v>
      </c>
      <c r="D85">
        <v>1</v>
      </c>
    </row>
    <row r="86" spans="3:4" x14ac:dyDescent="0.3">
      <c r="C86" t="s">
        <v>23</v>
      </c>
      <c r="D86">
        <v>1</v>
      </c>
    </row>
    <row r="87" spans="3:4" x14ac:dyDescent="0.3">
      <c r="C87" t="s">
        <v>23</v>
      </c>
      <c r="D87">
        <v>1</v>
      </c>
    </row>
    <row r="88" spans="3:4" x14ac:dyDescent="0.3">
      <c r="C88" t="s">
        <v>23</v>
      </c>
      <c r="D88">
        <v>1</v>
      </c>
    </row>
    <row r="89" spans="3:4" x14ac:dyDescent="0.3">
      <c r="C89" t="s">
        <v>23</v>
      </c>
      <c r="D89">
        <v>1</v>
      </c>
    </row>
    <row r="90" spans="3:4" x14ac:dyDescent="0.3">
      <c r="C90" t="s">
        <v>23</v>
      </c>
      <c r="D90">
        <v>1</v>
      </c>
    </row>
    <row r="91" spans="3:4" x14ac:dyDescent="0.3">
      <c r="C91" t="s">
        <v>23</v>
      </c>
      <c r="D91">
        <v>1</v>
      </c>
    </row>
    <row r="92" spans="3:4" x14ac:dyDescent="0.3">
      <c r="C92" t="s">
        <v>23</v>
      </c>
      <c r="D92">
        <v>1</v>
      </c>
    </row>
    <row r="93" spans="3:4" x14ac:dyDescent="0.3">
      <c r="C93" t="s">
        <v>23</v>
      </c>
      <c r="D93">
        <v>1</v>
      </c>
    </row>
    <row r="94" spans="3:4" x14ac:dyDescent="0.3">
      <c r="C94" t="s">
        <v>23</v>
      </c>
      <c r="D94">
        <v>1</v>
      </c>
    </row>
    <row r="95" spans="3:4" x14ac:dyDescent="0.3">
      <c r="C95" t="s">
        <v>30</v>
      </c>
      <c r="D95">
        <v>2</v>
      </c>
    </row>
    <row r="96" spans="3:4" x14ac:dyDescent="0.3">
      <c r="C96" t="s">
        <v>30</v>
      </c>
      <c r="D96">
        <v>2</v>
      </c>
    </row>
    <row r="97" spans="3:4" x14ac:dyDescent="0.3">
      <c r="C97" t="s">
        <v>30</v>
      </c>
      <c r="D97">
        <v>2</v>
      </c>
    </row>
    <row r="98" spans="3:4" x14ac:dyDescent="0.3">
      <c r="C98" t="s">
        <v>30</v>
      </c>
      <c r="D98">
        <v>2</v>
      </c>
    </row>
    <row r="99" spans="3:4" x14ac:dyDescent="0.3">
      <c r="C99" t="s">
        <v>30</v>
      </c>
      <c r="D99">
        <v>2</v>
      </c>
    </row>
    <row r="100" spans="3:4" x14ac:dyDescent="0.3">
      <c r="C100" t="s">
        <v>30</v>
      </c>
      <c r="D100">
        <v>2</v>
      </c>
    </row>
    <row r="101" spans="3:4" x14ac:dyDescent="0.3">
      <c r="C101" t="s">
        <v>30</v>
      </c>
      <c r="D101">
        <v>2</v>
      </c>
    </row>
    <row r="102" spans="3:4" x14ac:dyDescent="0.3">
      <c r="C102" t="s">
        <v>18</v>
      </c>
      <c r="D102">
        <v>3</v>
      </c>
    </row>
    <row r="103" spans="3:4" x14ac:dyDescent="0.3">
      <c r="C103" t="s">
        <v>18</v>
      </c>
      <c r="D103">
        <v>3</v>
      </c>
    </row>
    <row r="104" spans="3:4" x14ac:dyDescent="0.3">
      <c r="C104" t="s">
        <v>18</v>
      </c>
      <c r="D104">
        <v>3</v>
      </c>
    </row>
    <row r="105" spans="3:4" x14ac:dyDescent="0.3">
      <c r="C105" t="s">
        <v>18</v>
      </c>
      <c r="D105">
        <v>3</v>
      </c>
    </row>
    <row r="106" spans="3:4" x14ac:dyDescent="0.3">
      <c r="C106" t="s">
        <v>18</v>
      </c>
      <c r="D106">
        <v>3</v>
      </c>
    </row>
    <row r="107" spans="3:4" x14ac:dyDescent="0.3">
      <c r="C107" t="s">
        <v>18</v>
      </c>
      <c r="D107">
        <v>3</v>
      </c>
    </row>
    <row r="108" spans="3:4" x14ac:dyDescent="0.3">
      <c r="C108" t="s">
        <v>18</v>
      </c>
      <c r="D108">
        <v>3</v>
      </c>
    </row>
    <row r="109" spans="3:4" x14ac:dyDescent="0.3">
      <c r="C109" t="s">
        <v>18</v>
      </c>
      <c r="D109">
        <v>3</v>
      </c>
    </row>
    <row r="110" spans="3:4" x14ac:dyDescent="0.3">
      <c r="C110" t="s">
        <v>18</v>
      </c>
      <c r="D110">
        <v>3</v>
      </c>
    </row>
    <row r="111" spans="3:4" x14ac:dyDescent="0.3">
      <c r="C111" t="s">
        <v>18</v>
      </c>
      <c r="D111">
        <v>3</v>
      </c>
    </row>
    <row r="112" spans="3:4" x14ac:dyDescent="0.3">
      <c r="C112" t="s">
        <v>18</v>
      </c>
      <c r="D112">
        <v>3</v>
      </c>
    </row>
    <row r="113" spans="3:4" x14ac:dyDescent="0.3">
      <c r="C113" t="s">
        <v>18</v>
      </c>
      <c r="D113">
        <v>3</v>
      </c>
    </row>
    <row r="114" spans="3:4" x14ac:dyDescent="0.3">
      <c r="C114" t="s">
        <v>18</v>
      </c>
      <c r="D114">
        <v>3</v>
      </c>
    </row>
    <row r="115" spans="3:4" x14ac:dyDescent="0.3">
      <c r="C115" t="s">
        <v>18</v>
      </c>
      <c r="D115">
        <v>3</v>
      </c>
    </row>
    <row r="116" spans="3:4" x14ac:dyDescent="0.3">
      <c r="C116" t="s">
        <v>18</v>
      </c>
      <c r="D116">
        <v>3</v>
      </c>
    </row>
    <row r="117" spans="3:4" x14ac:dyDescent="0.3">
      <c r="C117" t="s">
        <v>18</v>
      </c>
      <c r="D117">
        <v>3</v>
      </c>
    </row>
    <row r="118" spans="3:4" x14ac:dyDescent="0.3">
      <c r="C118" t="s">
        <v>18</v>
      </c>
      <c r="D118">
        <v>3</v>
      </c>
    </row>
    <row r="119" spans="3:4" x14ac:dyDescent="0.3">
      <c r="C119" t="s">
        <v>18</v>
      </c>
      <c r="D119">
        <v>3</v>
      </c>
    </row>
    <row r="120" spans="3:4" x14ac:dyDescent="0.3">
      <c r="C120" t="s">
        <v>18</v>
      </c>
      <c r="D120">
        <v>3</v>
      </c>
    </row>
    <row r="121" spans="3:4" x14ac:dyDescent="0.3">
      <c r="C121" t="s">
        <v>18</v>
      </c>
      <c r="D121">
        <v>3</v>
      </c>
    </row>
    <row r="122" spans="3:4" x14ac:dyDescent="0.3">
      <c r="C122" t="s">
        <v>18</v>
      </c>
      <c r="D122">
        <v>3</v>
      </c>
    </row>
    <row r="123" spans="3:4" x14ac:dyDescent="0.3">
      <c r="C123" t="s">
        <v>18</v>
      </c>
      <c r="D123">
        <v>3</v>
      </c>
    </row>
    <row r="124" spans="3:4" x14ac:dyDescent="0.3">
      <c r="C124" t="s">
        <v>18</v>
      </c>
      <c r="D124">
        <v>3</v>
      </c>
    </row>
    <row r="125" spans="3:4" x14ac:dyDescent="0.3">
      <c r="C125" t="s">
        <v>18</v>
      </c>
      <c r="D125">
        <v>3</v>
      </c>
    </row>
    <row r="126" spans="3:4" x14ac:dyDescent="0.3">
      <c r="C126" t="s">
        <v>18</v>
      </c>
      <c r="D126">
        <v>3</v>
      </c>
    </row>
    <row r="127" spans="3:4" x14ac:dyDescent="0.3">
      <c r="C127" t="s">
        <v>18</v>
      </c>
      <c r="D127">
        <v>3</v>
      </c>
    </row>
    <row r="128" spans="3:4" x14ac:dyDescent="0.3">
      <c r="C128" t="s">
        <v>18</v>
      </c>
      <c r="D128">
        <v>3</v>
      </c>
    </row>
    <row r="129" spans="3:4" x14ac:dyDescent="0.3">
      <c r="C129" t="s">
        <v>18</v>
      </c>
      <c r="D129">
        <v>3</v>
      </c>
    </row>
    <row r="130" spans="3:4" x14ac:dyDescent="0.3">
      <c r="C130" t="s">
        <v>18</v>
      </c>
      <c r="D130">
        <v>3</v>
      </c>
    </row>
    <row r="131" spans="3:4" x14ac:dyDescent="0.3">
      <c r="C131" t="s">
        <v>18</v>
      </c>
      <c r="D131">
        <v>3</v>
      </c>
    </row>
    <row r="132" spans="3:4" x14ac:dyDescent="0.3">
      <c r="C132" t="s">
        <v>18</v>
      </c>
      <c r="D132">
        <v>3</v>
      </c>
    </row>
    <row r="133" spans="3:4" x14ac:dyDescent="0.3">
      <c r="C133" t="s">
        <v>18</v>
      </c>
      <c r="D133">
        <v>3</v>
      </c>
    </row>
    <row r="134" spans="3:4" x14ac:dyDescent="0.3">
      <c r="C134" t="s">
        <v>18</v>
      </c>
      <c r="D134">
        <v>3</v>
      </c>
    </row>
    <row r="135" spans="3:4" x14ac:dyDescent="0.3">
      <c r="C135" t="s">
        <v>18</v>
      </c>
      <c r="D135">
        <v>3</v>
      </c>
    </row>
    <row r="136" spans="3:4" x14ac:dyDescent="0.3">
      <c r="C136" t="s">
        <v>18</v>
      </c>
      <c r="D136">
        <v>3</v>
      </c>
    </row>
    <row r="137" spans="3:4" x14ac:dyDescent="0.3">
      <c r="C137" t="s">
        <v>18</v>
      </c>
      <c r="D137">
        <v>3</v>
      </c>
    </row>
    <row r="138" spans="3:4" x14ac:dyDescent="0.3">
      <c r="C138" t="s">
        <v>18</v>
      </c>
      <c r="D138">
        <v>3</v>
      </c>
    </row>
    <row r="139" spans="3:4" x14ac:dyDescent="0.3">
      <c r="C139" t="s">
        <v>18</v>
      </c>
      <c r="D139">
        <v>3</v>
      </c>
    </row>
    <row r="140" spans="3:4" x14ac:dyDescent="0.3">
      <c r="C140" t="s">
        <v>18</v>
      </c>
      <c r="D140">
        <v>3</v>
      </c>
    </row>
    <row r="141" spans="3:4" x14ac:dyDescent="0.3">
      <c r="C141" t="s">
        <v>18</v>
      </c>
      <c r="D141">
        <v>3</v>
      </c>
    </row>
    <row r="142" spans="3:4" x14ac:dyDescent="0.3">
      <c r="C142" t="s">
        <v>18</v>
      </c>
      <c r="D142">
        <v>3</v>
      </c>
    </row>
    <row r="143" spans="3:4" x14ac:dyDescent="0.3">
      <c r="C143" t="s">
        <v>18</v>
      </c>
      <c r="D143">
        <v>3</v>
      </c>
    </row>
    <row r="144" spans="3:4" x14ac:dyDescent="0.3">
      <c r="C144" t="s">
        <v>18</v>
      </c>
      <c r="D144">
        <v>3</v>
      </c>
    </row>
    <row r="145" spans="3:4" x14ac:dyDescent="0.3">
      <c r="C145" t="s">
        <v>18</v>
      </c>
      <c r="D145">
        <v>3</v>
      </c>
    </row>
    <row r="146" spans="3:4" x14ac:dyDescent="0.3">
      <c r="C146" t="s">
        <v>18</v>
      </c>
      <c r="D146">
        <v>3</v>
      </c>
    </row>
    <row r="147" spans="3:4" x14ac:dyDescent="0.3">
      <c r="C147" t="s">
        <v>18</v>
      </c>
      <c r="D147">
        <v>3</v>
      </c>
    </row>
    <row r="148" spans="3:4" x14ac:dyDescent="0.3">
      <c r="C148" t="s">
        <v>18</v>
      </c>
      <c r="D148">
        <v>3</v>
      </c>
    </row>
    <row r="149" spans="3:4" x14ac:dyDescent="0.3">
      <c r="C149" t="s">
        <v>18</v>
      </c>
      <c r="D149">
        <v>3</v>
      </c>
    </row>
    <row r="150" spans="3:4" x14ac:dyDescent="0.3">
      <c r="C150" t="s">
        <v>18</v>
      </c>
      <c r="D150">
        <v>3</v>
      </c>
    </row>
    <row r="151" spans="3:4" x14ac:dyDescent="0.3">
      <c r="C151" t="s">
        <v>18</v>
      </c>
      <c r="D151">
        <v>3</v>
      </c>
    </row>
    <row r="152" spans="3:4" x14ac:dyDescent="0.3">
      <c r="C152" t="s">
        <v>18</v>
      </c>
      <c r="D152">
        <v>3</v>
      </c>
    </row>
    <row r="153" spans="3:4" x14ac:dyDescent="0.3">
      <c r="C153" t="s">
        <v>18</v>
      </c>
      <c r="D153">
        <v>3</v>
      </c>
    </row>
    <row r="154" spans="3:4" x14ac:dyDescent="0.3">
      <c r="C154" t="s">
        <v>18</v>
      </c>
      <c r="D154">
        <v>3</v>
      </c>
    </row>
    <row r="155" spans="3:4" x14ac:dyDescent="0.3">
      <c r="C155" t="s">
        <v>18</v>
      </c>
      <c r="D155">
        <v>3</v>
      </c>
    </row>
    <row r="156" spans="3:4" x14ac:dyDescent="0.3">
      <c r="C156" t="s">
        <v>18</v>
      </c>
      <c r="D156">
        <v>3</v>
      </c>
    </row>
    <row r="157" spans="3:4" x14ac:dyDescent="0.3">
      <c r="C157" t="s">
        <v>18</v>
      </c>
      <c r="D157">
        <v>3</v>
      </c>
    </row>
    <row r="158" spans="3:4" x14ac:dyDescent="0.3">
      <c r="C158" t="s">
        <v>18</v>
      </c>
      <c r="D158">
        <v>3</v>
      </c>
    </row>
    <row r="159" spans="3:4" x14ac:dyDescent="0.3">
      <c r="C159" t="s">
        <v>18</v>
      </c>
      <c r="D159">
        <v>3</v>
      </c>
    </row>
    <row r="160" spans="3:4" x14ac:dyDescent="0.3">
      <c r="C160" t="s">
        <v>18</v>
      </c>
      <c r="D160">
        <v>3</v>
      </c>
    </row>
    <row r="161" spans="3:4" x14ac:dyDescent="0.3">
      <c r="C161" t="s">
        <v>18</v>
      </c>
      <c r="D161">
        <v>3</v>
      </c>
    </row>
    <row r="162" spans="3:4" x14ac:dyDescent="0.3">
      <c r="C162" t="s">
        <v>18</v>
      </c>
      <c r="D162">
        <v>3</v>
      </c>
    </row>
    <row r="163" spans="3:4" x14ac:dyDescent="0.3">
      <c r="C163" t="s">
        <v>18</v>
      </c>
      <c r="D163">
        <v>3</v>
      </c>
    </row>
    <row r="164" spans="3:4" x14ac:dyDescent="0.3">
      <c r="C164" t="s">
        <v>18</v>
      </c>
      <c r="D164">
        <v>3</v>
      </c>
    </row>
    <row r="165" spans="3:4" x14ac:dyDescent="0.3">
      <c r="C165" t="s">
        <v>18</v>
      </c>
      <c r="D165">
        <v>3</v>
      </c>
    </row>
    <row r="166" spans="3:4" x14ac:dyDescent="0.3">
      <c r="C166" t="s">
        <v>18</v>
      </c>
      <c r="D166">
        <v>3</v>
      </c>
    </row>
    <row r="167" spans="3:4" x14ac:dyDescent="0.3">
      <c r="C167" t="s">
        <v>18</v>
      </c>
      <c r="D167">
        <v>3</v>
      </c>
    </row>
    <row r="168" spans="3:4" x14ac:dyDescent="0.3">
      <c r="C168" t="s">
        <v>18</v>
      </c>
      <c r="D168">
        <v>3</v>
      </c>
    </row>
    <row r="169" spans="3:4" x14ac:dyDescent="0.3">
      <c r="C169" t="s">
        <v>18</v>
      </c>
      <c r="D169">
        <v>3</v>
      </c>
    </row>
    <row r="170" spans="3:4" x14ac:dyDescent="0.3">
      <c r="C170" t="s">
        <v>18</v>
      </c>
      <c r="D170">
        <v>3</v>
      </c>
    </row>
    <row r="171" spans="3:4" x14ac:dyDescent="0.3">
      <c r="C171" t="s">
        <v>18</v>
      </c>
      <c r="D171">
        <v>3</v>
      </c>
    </row>
    <row r="172" spans="3:4" x14ac:dyDescent="0.3">
      <c r="C172" t="s">
        <v>18</v>
      </c>
      <c r="D172">
        <v>3</v>
      </c>
    </row>
    <row r="173" spans="3:4" x14ac:dyDescent="0.3">
      <c r="C173" t="s">
        <v>18</v>
      </c>
      <c r="D173">
        <v>3</v>
      </c>
    </row>
    <row r="174" spans="3:4" x14ac:dyDescent="0.3">
      <c r="C174" t="s">
        <v>18</v>
      </c>
      <c r="D174">
        <v>3</v>
      </c>
    </row>
    <row r="175" spans="3:4" x14ac:dyDescent="0.3">
      <c r="C175" t="s">
        <v>18</v>
      </c>
      <c r="D175">
        <v>3</v>
      </c>
    </row>
    <row r="176" spans="3:4" x14ac:dyDescent="0.3">
      <c r="C176" t="s">
        <v>18</v>
      </c>
      <c r="D176">
        <v>3</v>
      </c>
    </row>
    <row r="177" spans="3:4" x14ac:dyDescent="0.3">
      <c r="C177" t="s">
        <v>18</v>
      </c>
      <c r="D177">
        <v>3</v>
      </c>
    </row>
    <row r="178" spans="3:4" x14ac:dyDescent="0.3">
      <c r="C178" t="s">
        <v>18</v>
      </c>
      <c r="D178">
        <v>3</v>
      </c>
    </row>
    <row r="179" spans="3:4" x14ac:dyDescent="0.3">
      <c r="C179" t="s">
        <v>18</v>
      </c>
      <c r="D179">
        <v>3</v>
      </c>
    </row>
    <row r="180" spans="3:4" x14ac:dyDescent="0.3">
      <c r="C180" t="s">
        <v>18</v>
      </c>
      <c r="D180">
        <v>3</v>
      </c>
    </row>
    <row r="181" spans="3:4" x14ac:dyDescent="0.3">
      <c r="C181" t="s">
        <v>18</v>
      </c>
      <c r="D181">
        <v>3</v>
      </c>
    </row>
    <row r="182" spans="3:4" x14ac:dyDescent="0.3">
      <c r="C182" t="s">
        <v>18</v>
      </c>
      <c r="D182">
        <v>3</v>
      </c>
    </row>
    <row r="183" spans="3:4" x14ac:dyDescent="0.3">
      <c r="C183" t="s">
        <v>18</v>
      </c>
      <c r="D183">
        <v>3</v>
      </c>
    </row>
    <row r="184" spans="3:4" x14ac:dyDescent="0.3">
      <c r="C184" t="s">
        <v>18</v>
      </c>
      <c r="D184">
        <v>3</v>
      </c>
    </row>
    <row r="185" spans="3:4" x14ac:dyDescent="0.3">
      <c r="C185" t="s">
        <v>18</v>
      </c>
      <c r="D185">
        <v>3</v>
      </c>
    </row>
    <row r="186" spans="3:4" x14ac:dyDescent="0.3">
      <c r="C186" t="s">
        <v>18</v>
      </c>
      <c r="D186">
        <v>3</v>
      </c>
    </row>
    <row r="187" spans="3:4" x14ac:dyDescent="0.3">
      <c r="C187" t="s">
        <v>18</v>
      </c>
      <c r="D187">
        <v>3</v>
      </c>
    </row>
    <row r="188" spans="3:4" x14ac:dyDescent="0.3">
      <c r="C188" t="s">
        <v>18</v>
      </c>
      <c r="D188">
        <v>3</v>
      </c>
    </row>
    <row r="189" spans="3:4" x14ac:dyDescent="0.3">
      <c r="C189" t="s">
        <v>18</v>
      </c>
      <c r="D189">
        <v>3</v>
      </c>
    </row>
    <row r="190" spans="3:4" x14ac:dyDescent="0.3">
      <c r="C190" t="s">
        <v>18</v>
      </c>
      <c r="D190">
        <v>3</v>
      </c>
    </row>
    <row r="191" spans="3:4" x14ac:dyDescent="0.3">
      <c r="C191" t="s">
        <v>18</v>
      </c>
      <c r="D191">
        <v>3</v>
      </c>
    </row>
    <row r="192" spans="3:4" x14ac:dyDescent="0.3">
      <c r="C192" t="s">
        <v>18</v>
      </c>
      <c r="D192">
        <v>3</v>
      </c>
    </row>
    <row r="193" spans="3:4" x14ac:dyDescent="0.3">
      <c r="C193" t="s">
        <v>18</v>
      </c>
      <c r="D193">
        <v>3</v>
      </c>
    </row>
    <row r="194" spans="3:4" x14ac:dyDescent="0.3">
      <c r="C194" t="s">
        <v>18</v>
      </c>
      <c r="D194">
        <v>3</v>
      </c>
    </row>
    <row r="195" spans="3:4" x14ac:dyDescent="0.3">
      <c r="C195" t="s">
        <v>18</v>
      </c>
      <c r="D195">
        <v>3</v>
      </c>
    </row>
    <row r="196" spans="3:4" x14ac:dyDescent="0.3">
      <c r="C196" t="s">
        <v>18</v>
      </c>
      <c r="D196">
        <v>3</v>
      </c>
    </row>
    <row r="197" spans="3:4" x14ac:dyDescent="0.3">
      <c r="C197" t="s">
        <v>18</v>
      </c>
      <c r="D197">
        <v>3</v>
      </c>
    </row>
    <row r="198" spans="3:4" x14ac:dyDescent="0.3">
      <c r="C198" t="s">
        <v>18</v>
      </c>
      <c r="D198">
        <v>3</v>
      </c>
    </row>
    <row r="199" spans="3:4" x14ac:dyDescent="0.3">
      <c r="C199" t="s">
        <v>18</v>
      </c>
      <c r="D199">
        <v>3</v>
      </c>
    </row>
    <row r="200" spans="3:4" x14ac:dyDescent="0.3">
      <c r="C200" t="s">
        <v>18</v>
      </c>
      <c r="D200">
        <v>3</v>
      </c>
    </row>
    <row r="201" spans="3:4" x14ac:dyDescent="0.3">
      <c r="C201" t="s">
        <v>18</v>
      </c>
      <c r="D201">
        <v>3</v>
      </c>
    </row>
    <row r="202" spans="3:4" x14ac:dyDescent="0.3">
      <c r="C202" t="s">
        <v>18</v>
      </c>
      <c r="D202">
        <v>3</v>
      </c>
    </row>
    <row r="203" spans="3:4" x14ac:dyDescent="0.3">
      <c r="C203" t="s">
        <v>18</v>
      </c>
      <c r="D203">
        <v>3</v>
      </c>
    </row>
    <row r="204" spans="3:4" x14ac:dyDescent="0.3">
      <c r="C204" t="s">
        <v>18</v>
      </c>
      <c r="D204">
        <v>3</v>
      </c>
    </row>
    <row r="205" spans="3:4" x14ac:dyDescent="0.3">
      <c r="C205" t="s">
        <v>18</v>
      </c>
      <c r="D205">
        <v>3</v>
      </c>
    </row>
    <row r="206" spans="3:4" x14ac:dyDescent="0.3">
      <c r="C206" t="s">
        <v>18</v>
      </c>
      <c r="D206">
        <v>3</v>
      </c>
    </row>
    <row r="207" spans="3:4" x14ac:dyDescent="0.3">
      <c r="C207" t="s">
        <v>18</v>
      </c>
      <c r="D207">
        <v>3</v>
      </c>
    </row>
    <row r="208" spans="3:4" x14ac:dyDescent="0.3">
      <c r="C208" t="s">
        <v>18</v>
      </c>
      <c r="D208">
        <v>3</v>
      </c>
    </row>
    <row r="209" spans="3:4" x14ac:dyDescent="0.3">
      <c r="C209" t="s">
        <v>18</v>
      </c>
      <c r="D209">
        <v>3</v>
      </c>
    </row>
    <row r="210" spans="3:4" x14ac:dyDescent="0.3">
      <c r="C210" t="s">
        <v>18</v>
      </c>
      <c r="D210">
        <v>3</v>
      </c>
    </row>
    <row r="211" spans="3:4" x14ac:dyDescent="0.3">
      <c r="C211" t="s">
        <v>18</v>
      </c>
      <c r="D211">
        <v>3</v>
      </c>
    </row>
    <row r="213" spans="3:4" x14ac:dyDescent="0.3">
      <c r="C213" t="s">
        <v>47</v>
      </c>
      <c r="D213" s="3">
        <f>AVERAGE(D$3:D$211)</f>
        <v>2.0861244019138754</v>
      </c>
    </row>
    <row r="215" spans="3:4" ht="15.6" x14ac:dyDescent="0.3">
      <c r="C215" t="s">
        <v>48</v>
      </c>
      <c r="D215" s="4">
        <f>STDEV(D$3:D$211)</f>
        <v>0.9816826233112711</v>
      </c>
    </row>
    <row r="218" spans="3:4" x14ac:dyDescent="0.3">
      <c r="C218" t="s">
        <v>49</v>
      </c>
      <c r="D218">
        <f>MIN(D$3:D$211)</f>
        <v>1</v>
      </c>
    </row>
    <row r="220" spans="3:4" x14ac:dyDescent="0.3">
      <c r="C220" t="s">
        <v>50</v>
      </c>
      <c r="D220" s="3">
        <f>QUARTILE(D$3:D$211,1)</f>
        <v>1</v>
      </c>
    </row>
    <row r="222" spans="3:4" x14ac:dyDescent="0.3">
      <c r="C222" t="s">
        <v>51</v>
      </c>
      <c r="D222" s="3">
        <f>MEDIAN(D$3:D$211)</f>
        <v>3</v>
      </c>
    </row>
    <row r="224" spans="3:4" x14ac:dyDescent="0.3">
      <c r="C224" t="s">
        <v>52</v>
      </c>
      <c r="D224">
        <f>QUARTILE(D$3:D$211,3)</f>
        <v>3</v>
      </c>
    </row>
    <row r="226" spans="3:4" x14ac:dyDescent="0.3">
      <c r="C226" t="s">
        <v>53</v>
      </c>
      <c r="D226">
        <f>MAX(D$3:D$211)</f>
        <v>3</v>
      </c>
    </row>
    <row r="228" spans="3:4" x14ac:dyDescent="0.3">
      <c r="C228" t="s">
        <v>54</v>
      </c>
      <c r="D228">
        <f>D226-D218</f>
        <v>2</v>
      </c>
    </row>
    <row r="230" spans="3:4" x14ac:dyDescent="0.3">
      <c r="C230" t="s">
        <v>55</v>
      </c>
      <c r="D230">
        <f>D220-D224</f>
        <v>-2</v>
      </c>
    </row>
    <row r="232" spans="3:4" x14ac:dyDescent="0.3">
      <c r="C232" t="s">
        <v>56</v>
      </c>
      <c r="D232">
        <f>MODE(D$3:D$211)</f>
        <v>3</v>
      </c>
    </row>
  </sheetData>
  <autoFilter ref="D1:D232" xr:uid="{DBBB40B5-4A21-4013-A37D-E925CF53F279}"/>
  <sortState xmlns:xlrd2="http://schemas.microsoft.com/office/spreadsheetml/2017/richdata2" ref="C3:C211">
    <sortCondition ref="C3:C211"/>
  </sortState>
  <pageMargins left="0.7" right="0.7" top="0.75" bottom="0.75" header="0.3" footer="0.3"/>
  <pageSetup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40F8D-D90F-4FCC-B7CB-FB04BBFDC9CE}">
  <dimension ref="C1:H232"/>
  <sheetViews>
    <sheetView workbookViewId="0">
      <selection activeCell="J209" sqref="J209"/>
    </sheetView>
  </sheetViews>
  <sheetFormatPr defaultRowHeight="14.4" x14ac:dyDescent="0.3"/>
  <cols>
    <col min="3" max="3" width="16.6640625" customWidth="1"/>
    <col min="4" max="4" width="15.33203125" customWidth="1"/>
    <col min="6" max="6" width="16.6640625" customWidth="1"/>
    <col min="7" max="7" width="15.109375" customWidth="1"/>
  </cols>
  <sheetData>
    <row r="1" spans="3:8" x14ac:dyDescent="0.3">
      <c r="C1">
        <v>3</v>
      </c>
      <c r="D1">
        <v>3</v>
      </c>
    </row>
    <row r="2" spans="3:8" x14ac:dyDescent="0.3">
      <c r="C2" t="s">
        <v>2</v>
      </c>
      <c r="D2" t="s">
        <v>90</v>
      </c>
      <c r="G2" t="s">
        <v>58</v>
      </c>
      <c r="H2" t="s">
        <v>91</v>
      </c>
    </row>
    <row r="3" spans="3:8" x14ac:dyDescent="0.3">
      <c r="C3" t="s">
        <v>19</v>
      </c>
      <c r="D3">
        <v>1</v>
      </c>
      <c r="G3" t="s">
        <v>60</v>
      </c>
      <c r="H3" t="s">
        <v>61</v>
      </c>
    </row>
    <row r="4" spans="3:8" x14ac:dyDescent="0.3">
      <c r="C4" t="s">
        <v>19</v>
      </c>
      <c r="D4">
        <v>1</v>
      </c>
    </row>
    <row r="5" spans="3:8" x14ac:dyDescent="0.3">
      <c r="C5" t="s">
        <v>19</v>
      </c>
      <c r="D5">
        <v>1</v>
      </c>
      <c r="G5" t="s">
        <v>92</v>
      </c>
    </row>
    <row r="6" spans="3:8" x14ac:dyDescent="0.3">
      <c r="C6" t="s">
        <v>19</v>
      </c>
      <c r="D6">
        <v>1</v>
      </c>
      <c r="G6" t="s">
        <v>93</v>
      </c>
      <c r="H6" t="s">
        <v>63</v>
      </c>
    </row>
    <row r="7" spans="3:8" x14ac:dyDescent="0.3">
      <c r="C7" t="s">
        <v>19</v>
      </c>
      <c r="D7">
        <v>1</v>
      </c>
      <c r="G7" t="s">
        <v>94</v>
      </c>
      <c r="H7">
        <f>COUNT(D3:D107)</f>
        <v>105</v>
      </c>
    </row>
    <row r="8" spans="3:8" x14ac:dyDescent="0.3">
      <c r="C8" t="s">
        <v>19</v>
      </c>
      <c r="D8">
        <v>1</v>
      </c>
      <c r="G8" t="s">
        <v>95</v>
      </c>
      <c r="H8">
        <f>COUNT(D108:D211)</f>
        <v>104</v>
      </c>
    </row>
    <row r="9" spans="3:8" x14ac:dyDescent="0.3">
      <c r="C9" t="s">
        <v>19</v>
      </c>
      <c r="D9">
        <v>1</v>
      </c>
    </row>
    <row r="10" spans="3:8" x14ac:dyDescent="0.3">
      <c r="C10" t="s">
        <v>19</v>
      </c>
      <c r="D10">
        <v>1</v>
      </c>
    </row>
    <row r="11" spans="3:8" x14ac:dyDescent="0.3">
      <c r="C11" t="s">
        <v>19</v>
      </c>
      <c r="D11">
        <v>1</v>
      </c>
    </row>
    <row r="12" spans="3:8" x14ac:dyDescent="0.3">
      <c r="C12" t="s">
        <v>19</v>
      </c>
      <c r="D12">
        <v>1</v>
      </c>
    </row>
    <row r="13" spans="3:8" x14ac:dyDescent="0.3">
      <c r="C13" t="s">
        <v>19</v>
      </c>
      <c r="D13">
        <v>1</v>
      </c>
    </row>
    <row r="14" spans="3:8" x14ac:dyDescent="0.3">
      <c r="C14" t="s">
        <v>19</v>
      </c>
      <c r="D14">
        <v>1</v>
      </c>
    </row>
    <row r="15" spans="3:8" x14ac:dyDescent="0.3">
      <c r="C15" t="s">
        <v>19</v>
      </c>
      <c r="D15">
        <v>1</v>
      </c>
    </row>
    <row r="16" spans="3:8" x14ac:dyDescent="0.3">
      <c r="C16" t="s">
        <v>19</v>
      </c>
      <c r="D16">
        <v>1</v>
      </c>
    </row>
    <row r="17" spans="3:4" x14ac:dyDescent="0.3">
      <c r="C17" t="s">
        <v>19</v>
      </c>
      <c r="D17">
        <v>1</v>
      </c>
    </row>
    <row r="18" spans="3:4" x14ac:dyDescent="0.3">
      <c r="C18" t="s">
        <v>19</v>
      </c>
      <c r="D18">
        <v>1</v>
      </c>
    </row>
    <row r="19" spans="3:4" x14ac:dyDescent="0.3">
      <c r="C19" t="s">
        <v>19</v>
      </c>
      <c r="D19">
        <v>1</v>
      </c>
    </row>
    <row r="20" spans="3:4" x14ac:dyDescent="0.3">
      <c r="C20" t="s">
        <v>19</v>
      </c>
      <c r="D20">
        <v>1</v>
      </c>
    </row>
    <row r="21" spans="3:4" x14ac:dyDescent="0.3">
      <c r="C21" t="s">
        <v>19</v>
      </c>
      <c r="D21">
        <v>1</v>
      </c>
    </row>
    <row r="22" spans="3:4" x14ac:dyDescent="0.3">
      <c r="C22" t="s">
        <v>19</v>
      </c>
      <c r="D22">
        <v>1</v>
      </c>
    </row>
    <row r="23" spans="3:4" x14ac:dyDescent="0.3">
      <c r="C23" t="s">
        <v>19</v>
      </c>
      <c r="D23">
        <v>1</v>
      </c>
    </row>
    <row r="24" spans="3:4" x14ac:dyDescent="0.3">
      <c r="C24" t="s">
        <v>19</v>
      </c>
      <c r="D24">
        <v>1</v>
      </c>
    </row>
    <row r="25" spans="3:4" x14ac:dyDescent="0.3">
      <c r="C25" t="s">
        <v>19</v>
      </c>
      <c r="D25">
        <v>1</v>
      </c>
    </row>
    <row r="26" spans="3:4" x14ac:dyDescent="0.3">
      <c r="C26" t="s">
        <v>19</v>
      </c>
      <c r="D26">
        <v>1</v>
      </c>
    </row>
    <row r="27" spans="3:4" x14ac:dyDescent="0.3">
      <c r="C27" t="s">
        <v>19</v>
      </c>
      <c r="D27">
        <v>1</v>
      </c>
    </row>
    <row r="28" spans="3:4" x14ac:dyDescent="0.3">
      <c r="C28" t="s">
        <v>19</v>
      </c>
      <c r="D28">
        <v>1</v>
      </c>
    </row>
    <row r="29" spans="3:4" x14ac:dyDescent="0.3">
      <c r="C29" t="s">
        <v>19</v>
      </c>
      <c r="D29">
        <v>1</v>
      </c>
    </row>
    <row r="30" spans="3:4" x14ac:dyDescent="0.3">
      <c r="C30" t="s">
        <v>19</v>
      </c>
      <c r="D30">
        <v>1</v>
      </c>
    </row>
    <row r="31" spans="3:4" x14ac:dyDescent="0.3">
      <c r="C31" t="s">
        <v>19</v>
      </c>
      <c r="D31">
        <v>1</v>
      </c>
    </row>
    <row r="32" spans="3:4" x14ac:dyDescent="0.3">
      <c r="C32" t="s">
        <v>19</v>
      </c>
      <c r="D32">
        <v>1</v>
      </c>
    </row>
    <row r="33" spans="3:4" x14ac:dyDescent="0.3">
      <c r="C33" t="s">
        <v>19</v>
      </c>
      <c r="D33">
        <v>1</v>
      </c>
    </row>
    <row r="34" spans="3:4" x14ac:dyDescent="0.3">
      <c r="C34" t="s">
        <v>19</v>
      </c>
      <c r="D34">
        <v>1</v>
      </c>
    </row>
    <row r="35" spans="3:4" x14ac:dyDescent="0.3">
      <c r="C35" t="s">
        <v>19</v>
      </c>
      <c r="D35">
        <v>1</v>
      </c>
    </row>
    <row r="36" spans="3:4" x14ac:dyDescent="0.3">
      <c r="C36" t="s">
        <v>19</v>
      </c>
      <c r="D36">
        <v>1</v>
      </c>
    </row>
    <row r="37" spans="3:4" x14ac:dyDescent="0.3">
      <c r="C37" t="s">
        <v>19</v>
      </c>
      <c r="D37">
        <v>1</v>
      </c>
    </row>
    <row r="38" spans="3:4" x14ac:dyDescent="0.3">
      <c r="C38" t="s">
        <v>19</v>
      </c>
      <c r="D38">
        <v>1</v>
      </c>
    </row>
    <row r="39" spans="3:4" x14ac:dyDescent="0.3">
      <c r="C39" t="s">
        <v>19</v>
      </c>
      <c r="D39">
        <v>1</v>
      </c>
    </row>
    <row r="40" spans="3:4" x14ac:dyDescent="0.3">
      <c r="C40" t="s">
        <v>19</v>
      </c>
      <c r="D40">
        <v>1</v>
      </c>
    </row>
    <row r="41" spans="3:4" x14ac:dyDescent="0.3">
      <c r="C41" t="s">
        <v>19</v>
      </c>
      <c r="D41">
        <v>1</v>
      </c>
    </row>
    <row r="42" spans="3:4" x14ac:dyDescent="0.3">
      <c r="C42" t="s">
        <v>19</v>
      </c>
      <c r="D42">
        <v>1</v>
      </c>
    </row>
    <row r="43" spans="3:4" x14ac:dyDescent="0.3">
      <c r="C43" t="s">
        <v>19</v>
      </c>
      <c r="D43">
        <v>1</v>
      </c>
    </row>
    <row r="44" spans="3:4" x14ac:dyDescent="0.3">
      <c r="C44" t="s">
        <v>19</v>
      </c>
      <c r="D44">
        <v>1</v>
      </c>
    </row>
    <row r="45" spans="3:4" x14ac:dyDescent="0.3">
      <c r="C45" t="s">
        <v>19</v>
      </c>
      <c r="D45">
        <v>1</v>
      </c>
    </row>
    <row r="46" spans="3:4" x14ac:dyDescent="0.3">
      <c r="C46" t="s">
        <v>19</v>
      </c>
      <c r="D46">
        <v>1</v>
      </c>
    </row>
    <row r="47" spans="3:4" x14ac:dyDescent="0.3">
      <c r="C47" t="s">
        <v>19</v>
      </c>
      <c r="D47">
        <v>1</v>
      </c>
    </row>
    <row r="48" spans="3:4" x14ac:dyDescent="0.3">
      <c r="C48" t="s">
        <v>19</v>
      </c>
      <c r="D48">
        <v>1</v>
      </c>
    </row>
    <row r="49" spans="3:4" x14ac:dyDescent="0.3">
      <c r="C49" t="s">
        <v>19</v>
      </c>
      <c r="D49">
        <v>1</v>
      </c>
    </row>
    <row r="50" spans="3:4" x14ac:dyDescent="0.3">
      <c r="C50" t="s">
        <v>19</v>
      </c>
      <c r="D50">
        <v>1</v>
      </c>
    </row>
    <row r="51" spans="3:4" x14ac:dyDescent="0.3">
      <c r="C51" t="s">
        <v>19</v>
      </c>
      <c r="D51">
        <v>1</v>
      </c>
    </row>
    <row r="52" spans="3:4" x14ac:dyDescent="0.3">
      <c r="C52" t="s">
        <v>19</v>
      </c>
      <c r="D52">
        <v>1</v>
      </c>
    </row>
    <row r="53" spans="3:4" x14ac:dyDescent="0.3">
      <c r="C53" t="s">
        <v>19</v>
      </c>
      <c r="D53">
        <v>1</v>
      </c>
    </row>
    <row r="54" spans="3:4" x14ac:dyDescent="0.3">
      <c r="C54" t="s">
        <v>19</v>
      </c>
      <c r="D54">
        <v>1</v>
      </c>
    </row>
    <row r="55" spans="3:4" x14ac:dyDescent="0.3">
      <c r="C55" t="s">
        <v>19</v>
      </c>
      <c r="D55">
        <v>1</v>
      </c>
    </row>
    <row r="56" spans="3:4" x14ac:dyDescent="0.3">
      <c r="C56" t="s">
        <v>19</v>
      </c>
      <c r="D56">
        <v>1</v>
      </c>
    </row>
    <row r="57" spans="3:4" x14ac:dyDescent="0.3">
      <c r="C57" t="s">
        <v>19</v>
      </c>
      <c r="D57">
        <v>1</v>
      </c>
    </row>
    <row r="58" spans="3:4" x14ac:dyDescent="0.3">
      <c r="C58" t="s">
        <v>19</v>
      </c>
      <c r="D58">
        <v>1</v>
      </c>
    </row>
    <row r="59" spans="3:4" x14ac:dyDescent="0.3">
      <c r="C59" t="s">
        <v>19</v>
      </c>
      <c r="D59">
        <v>1</v>
      </c>
    </row>
    <row r="60" spans="3:4" x14ac:dyDescent="0.3">
      <c r="C60" t="s">
        <v>19</v>
      </c>
      <c r="D60">
        <v>1</v>
      </c>
    </row>
    <row r="61" spans="3:4" x14ac:dyDescent="0.3">
      <c r="C61" t="s">
        <v>19</v>
      </c>
      <c r="D61">
        <v>1</v>
      </c>
    </row>
    <row r="62" spans="3:4" x14ac:dyDescent="0.3">
      <c r="C62" t="s">
        <v>19</v>
      </c>
      <c r="D62">
        <v>1</v>
      </c>
    </row>
    <row r="63" spans="3:4" x14ac:dyDescent="0.3">
      <c r="C63" t="s">
        <v>19</v>
      </c>
      <c r="D63">
        <v>1</v>
      </c>
    </row>
    <row r="64" spans="3:4" x14ac:dyDescent="0.3">
      <c r="C64" t="s">
        <v>19</v>
      </c>
      <c r="D64">
        <v>1</v>
      </c>
    </row>
    <row r="65" spans="3:4" x14ac:dyDescent="0.3">
      <c r="C65" t="s">
        <v>19</v>
      </c>
      <c r="D65">
        <v>1</v>
      </c>
    </row>
    <row r="66" spans="3:4" x14ac:dyDescent="0.3">
      <c r="C66" t="s">
        <v>19</v>
      </c>
      <c r="D66">
        <v>1</v>
      </c>
    </row>
    <row r="67" spans="3:4" x14ac:dyDescent="0.3">
      <c r="C67" t="s">
        <v>19</v>
      </c>
      <c r="D67">
        <v>1</v>
      </c>
    </row>
    <row r="68" spans="3:4" x14ac:dyDescent="0.3">
      <c r="C68" t="s">
        <v>19</v>
      </c>
      <c r="D68">
        <v>1</v>
      </c>
    </row>
    <row r="69" spans="3:4" x14ac:dyDescent="0.3">
      <c r="C69" t="s">
        <v>19</v>
      </c>
      <c r="D69">
        <v>1</v>
      </c>
    </row>
    <row r="70" spans="3:4" x14ac:dyDescent="0.3">
      <c r="C70" t="s">
        <v>19</v>
      </c>
      <c r="D70">
        <v>1</v>
      </c>
    </row>
    <row r="71" spans="3:4" x14ac:dyDescent="0.3">
      <c r="C71" t="s">
        <v>19</v>
      </c>
      <c r="D71">
        <v>1</v>
      </c>
    </row>
    <row r="72" spans="3:4" x14ac:dyDescent="0.3">
      <c r="C72" t="s">
        <v>19</v>
      </c>
      <c r="D72">
        <v>1</v>
      </c>
    </row>
    <row r="73" spans="3:4" x14ac:dyDescent="0.3">
      <c r="C73" t="s">
        <v>19</v>
      </c>
      <c r="D73">
        <v>1</v>
      </c>
    </row>
    <row r="74" spans="3:4" x14ac:dyDescent="0.3">
      <c r="C74" t="s">
        <v>19</v>
      </c>
      <c r="D74">
        <v>1</v>
      </c>
    </row>
    <row r="75" spans="3:4" x14ac:dyDescent="0.3">
      <c r="C75" t="s">
        <v>19</v>
      </c>
      <c r="D75">
        <v>1</v>
      </c>
    </row>
    <row r="76" spans="3:4" x14ac:dyDescent="0.3">
      <c r="C76" t="s">
        <v>19</v>
      </c>
      <c r="D76">
        <v>1</v>
      </c>
    </row>
    <row r="77" spans="3:4" x14ac:dyDescent="0.3">
      <c r="C77" t="s">
        <v>19</v>
      </c>
      <c r="D77">
        <v>1</v>
      </c>
    </row>
    <row r="78" spans="3:4" x14ac:dyDescent="0.3">
      <c r="C78" t="s">
        <v>19</v>
      </c>
      <c r="D78">
        <v>1</v>
      </c>
    </row>
    <row r="79" spans="3:4" x14ac:dyDescent="0.3">
      <c r="C79" t="s">
        <v>19</v>
      </c>
      <c r="D79">
        <v>1</v>
      </c>
    </row>
    <row r="80" spans="3:4" x14ac:dyDescent="0.3">
      <c r="C80" t="s">
        <v>19</v>
      </c>
      <c r="D80">
        <v>1</v>
      </c>
    </row>
    <row r="81" spans="3:4" x14ac:dyDescent="0.3">
      <c r="C81" t="s">
        <v>19</v>
      </c>
      <c r="D81">
        <v>1</v>
      </c>
    </row>
    <row r="82" spans="3:4" x14ac:dyDescent="0.3">
      <c r="C82" t="s">
        <v>19</v>
      </c>
      <c r="D82">
        <v>1</v>
      </c>
    </row>
    <row r="83" spans="3:4" x14ac:dyDescent="0.3">
      <c r="C83" t="s">
        <v>19</v>
      </c>
      <c r="D83">
        <v>1</v>
      </c>
    </row>
    <row r="84" spans="3:4" x14ac:dyDescent="0.3">
      <c r="C84" t="s">
        <v>19</v>
      </c>
      <c r="D84">
        <v>1</v>
      </c>
    </row>
    <row r="85" spans="3:4" x14ac:dyDescent="0.3">
      <c r="C85" t="s">
        <v>19</v>
      </c>
      <c r="D85">
        <v>1</v>
      </c>
    </row>
    <row r="86" spans="3:4" x14ac:dyDescent="0.3">
      <c r="C86" t="s">
        <v>19</v>
      </c>
      <c r="D86">
        <v>1</v>
      </c>
    </row>
    <row r="87" spans="3:4" x14ac:dyDescent="0.3">
      <c r="C87" t="s">
        <v>19</v>
      </c>
      <c r="D87">
        <v>1</v>
      </c>
    </row>
    <row r="88" spans="3:4" x14ac:dyDescent="0.3">
      <c r="C88" t="s">
        <v>19</v>
      </c>
      <c r="D88">
        <v>1</v>
      </c>
    </row>
    <row r="89" spans="3:4" x14ac:dyDescent="0.3">
      <c r="C89" t="s">
        <v>19</v>
      </c>
      <c r="D89">
        <v>1</v>
      </c>
    </row>
    <row r="90" spans="3:4" x14ac:dyDescent="0.3">
      <c r="C90" t="s">
        <v>19</v>
      </c>
      <c r="D90">
        <v>1</v>
      </c>
    </row>
    <row r="91" spans="3:4" x14ac:dyDescent="0.3">
      <c r="C91" t="s">
        <v>19</v>
      </c>
      <c r="D91">
        <v>1</v>
      </c>
    </row>
    <row r="92" spans="3:4" x14ac:dyDescent="0.3">
      <c r="C92" t="s">
        <v>19</v>
      </c>
      <c r="D92">
        <v>1</v>
      </c>
    </row>
    <row r="93" spans="3:4" x14ac:dyDescent="0.3">
      <c r="C93" t="s">
        <v>19</v>
      </c>
      <c r="D93">
        <v>1</v>
      </c>
    </row>
    <row r="94" spans="3:4" x14ac:dyDescent="0.3">
      <c r="C94" t="s">
        <v>19</v>
      </c>
      <c r="D94">
        <v>1</v>
      </c>
    </row>
    <row r="95" spans="3:4" x14ac:dyDescent="0.3">
      <c r="C95" t="s">
        <v>19</v>
      </c>
      <c r="D95">
        <v>1</v>
      </c>
    </row>
    <row r="96" spans="3:4" x14ac:dyDescent="0.3">
      <c r="C96" t="s">
        <v>19</v>
      </c>
      <c r="D96">
        <v>1</v>
      </c>
    </row>
    <row r="97" spans="3:4" x14ac:dyDescent="0.3">
      <c r="C97" t="s">
        <v>19</v>
      </c>
      <c r="D97">
        <v>1</v>
      </c>
    </row>
    <row r="98" spans="3:4" x14ac:dyDescent="0.3">
      <c r="C98" t="s">
        <v>19</v>
      </c>
      <c r="D98">
        <v>1</v>
      </c>
    </row>
    <row r="99" spans="3:4" x14ac:dyDescent="0.3">
      <c r="C99" t="s">
        <v>19</v>
      </c>
      <c r="D99">
        <v>1</v>
      </c>
    </row>
    <row r="100" spans="3:4" x14ac:dyDescent="0.3">
      <c r="C100" t="s">
        <v>19</v>
      </c>
      <c r="D100">
        <v>1</v>
      </c>
    </row>
    <row r="101" spans="3:4" x14ac:dyDescent="0.3">
      <c r="C101" t="s">
        <v>19</v>
      </c>
      <c r="D101">
        <v>1</v>
      </c>
    </row>
    <row r="102" spans="3:4" x14ac:dyDescent="0.3">
      <c r="C102" t="s">
        <v>19</v>
      </c>
      <c r="D102">
        <v>1</v>
      </c>
    </row>
    <row r="103" spans="3:4" x14ac:dyDescent="0.3">
      <c r="C103" t="s">
        <v>19</v>
      </c>
      <c r="D103">
        <v>1</v>
      </c>
    </row>
    <row r="104" spans="3:4" x14ac:dyDescent="0.3">
      <c r="C104" t="s">
        <v>19</v>
      </c>
      <c r="D104">
        <v>1</v>
      </c>
    </row>
    <row r="105" spans="3:4" x14ac:dyDescent="0.3">
      <c r="C105" t="s">
        <v>19</v>
      </c>
      <c r="D105">
        <v>1</v>
      </c>
    </row>
    <row r="106" spans="3:4" x14ac:dyDescent="0.3">
      <c r="C106" t="s">
        <v>19</v>
      </c>
      <c r="D106">
        <v>1</v>
      </c>
    </row>
    <row r="107" spans="3:4" x14ac:dyDescent="0.3">
      <c r="C107" t="s">
        <v>19</v>
      </c>
      <c r="D107">
        <v>1</v>
      </c>
    </row>
    <row r="108" spans="3:4" x14ac:dyDescent="0.3">
      <c r="C108" t="s">
        <v>31</v>
      </c>
      <c r="D108">
        <v>2</v>
      </c>
    </row>
    <row r="109" spans="3:4" x14ac:dyDescent="0.3">
      <c r="C109" t="s">
        <v>31</v>
      </c>
      <c r="D109">
        <v>2</v>
      </c>
    </row>
    <row r="110" spans="3:4" x14ac:dyDescent="0.3">
      <c r="C110" t="s">
        <v>31</v>
      </c>
      <c r="D110">
        <v>2</v>
      </c>
    </row>
    <row r="111" spans="3:4" x14ac:dyDescent="0.3">
      <c r="C111" t="s">
        <v>31</v>
      </c>
      <c r="D111">
        <v>2</v>
      </c>
    </row>
    <row r="112" spans="3:4" x14ac:dyDescent="0.3">
      <c r="C112" t="s">
        <v>31</v>
      </c>
      <c r="D112">
        <v>2</v>
      </c>
    </row>
    <row r="113" spans="3:4" x14ac:dyDescent="0.3">
      <c r="C113" t="s">
        <v>31</v>
      </c>
      <c r="D113">
        <v>2</v>
      </c>
    </row>
    <row r="114" spans="3:4" x14ac:dyDescent="0.3">
      <c r="C114" t="s">
        <v>31</v>
      </c>
      <c r="D114">
        <v>2</v>
      </c>
    </row>
    <row r="115" spans="3:4" x14ac:dyDescent="0.3">
      <c r="C115" t="s">
        <v>31</v>
      </c>
      <c r="D115">
        <v>2</v>
      </c>
    </row>
    <row r="116" spans="3:4" x14ac:dyDescent="0.3">
      <c r="C116" t="s">
        <v>31</v>
      </c>
      <c r="D116">
        <v>2</v>
      </c>
    </row>
    <row r="117" spans="3:4" x14ac:dyDescent="0.3">
      <c r="C117" t="s">
        <v>31</v>
      </c>
      <c r="D117">
        <v>2</v>
      </c>
    </row>
    <row r="118" spans="3:4" x14ac:dyDescent="0.3">
      <c r="C118" t="s">
        <v>31</v>
      </c>
      <c r="D118">
        <v>2</v>
      </c>
    </row>
    <row r="119" spans="3:4" x14ac:dyDescent="0.3">
      <c r="C119" t="s">
        <v>31</v>
      </c>
      <c r="D119">
        <v>2</v>
      </c>
    </row>
    <row r="120" spans="3:4" x14ac:dyDescent="0.3">
      <c r="C120" t="s">
        <v>31</v>
      </c>
      <c r="D120">
        <v>2</v>
      </c>
    </row>
    <row r="121" spans="3:4" x14ac:dyDescent="0.3">
      <c r="C121" t="s">
        <v>31</v>
      </c>
      <c r="D121">
        <v>2</v>
      </c>
    </row>
    <row r="122" spans="3:4" x14ac:dyDescent="0.3">
      <c r="C122" t="s">
        <v>31</v>
      </c>
      <c r="D122">
        <v>2</v>
      </c>
    </row>
    <row r="123" spans="3:4" x14ac:dyDescent="0.3">
      <c r="C123" t="s">
        <v>31</v>
      </c>
      <c r="D123">
        <v>2</v>
      </c>
    </row>
    <row r="124" spans="3:4" x14ac:dyDescent="0.3">
      <c r="C124" t="s">
        <v>31</v>
      </c>
      <c r="D124">
        <v>2</v>
      </c>
    </row>
    <row r="125" spans="3:4" x14ac:dyDescent="0.3">
      <c r="C125" t="s">
        <v>31</v>
      </c>
      <c r="D125">
        <v>2</v>
      </c>
    </row>
    <row r="126" spans="3:4" x14ac:dyDescent="0.3">
      <c r="C126" t="s">
        <v>31</v>
      </c>
      <c r="D126">
        <v>2</v>
      </c>
    </row>
    <row r="127" spans="3:4" x14ac:dyDescent="0.3">
      <c r="C127" t="s">
        <v>31</v>
      </c>
      <c r="D127">
        <v>2</v>
      </c>
    </row>
    <row r="128" spans="3:4" x14ac:dyDescent="0.3">
      <c r="C128" t="s">
        <v>31</v>
      </c>
      <c r="D128">
        <v>2</v>
      </c>
    </row>
    <row r="129" spans="3:4" x14ac:dyDescent="0.3">
      <c r="C129" t="s">
        <v>31</v>
      </c>
      <c r="D129">
        <v>2</v>
      </c>
    </row>
    <row r="130" spans="3:4" x14ac:dyDescent="0.3">
      <c r="C130" t="s">
        <v>31</v>
      </c>
      <c r="D130">
        <v>2</v>
      </c>
    </row>
    <row r="131" spans="3:4" x14ac:dyDescent="0.3">
      <c r="C131" t="s">
        <v>31</v>
      </c>
      <c r="D131">
        <v>2</v>
      </c>
    </row>
    <row r="132" spans="3:4" x14ac:dyDescent="0.3">
      <c r="C132" t="s">
        <v>31</v>
      </c>
      <c r="D132">
        <v>2</v>
      </c>
    </row>
    <row r="133" spans="3:4" x14ac:dyDescent="0.3">
      <c r="C133" t="s">
        <v>31</v>
      </c>
      <c r="D133">
        <v>2</v>
      </c>
    </row>
    <row r="134" spans="3:4" x14ac:dyDescent="0.3">
      <c r="C134" t="s">
        <v>31</v>
      </c>
      <c r="D134">
        <v>2</v>
      </c>
    </row>
    <row r="135" spans="3:4" x14ac:dyDescent="0.3">
      <c r="C135" t="s">
        <v>31</v>
      </c>
      <c r="D135">
        <v>2</v>
      </c>
    </row>
    <row r="136" spans="3:4" x14ac:dyDescent="0.3">
      <c r="C136" t="s">
        <v>31</v>
      </c>
      <c r="D136">
        <v>2</v>
      </c>
    </row>
    <row r="137" spans="3:4" x14ac:dyDescent="0.3">
      <c r="C137" t="s">
        <v>31</v>
      </c>
      <c r="D137">
        <v>2</v>
      </c>
    </row>
    <row r="138" spans="3:4" x14ac:dyDescent="0.3">
      <c r="C138" t="s">
        <v>31</v>
      </c>
      <c r="D138">
        <v>2</v>
      </c>
    </row>
    <row r="139" spans="3:4" x14ac:dyDescent="0.3">
      <c r="C139" t="s">
        <v>31</v>
      </c>
      <c r="D139">
        <v>2</v>
      </c>
    </row>
    <row r="140" spans="3:4" x14ac:dyDescent="0.3">
      <c r="C140" t="s">
        <v>31</v>
      </c>
      <c r="D140">
        <v>2</v>
      </c>
    </row>
    <row r="141" spans="3:4" x14ac:dyDescent="0.3">
      <c r="C141" t="s">
        <v>31</v>
      </c>
      <c r="D141">
        <v>2</v>
      </c>
    </row>
    <row r="142" spans="3:4" x14ac:dyDescent="0.3">
      <c r="C142" t="s">
        <v>31</v>
      </c>
      <c r="D142">
        <v>2</v>
      </c>
    </row>
    <row r="143" spans="3:4" x14ac:dyDescent="0.3">
      <c r="C143" t="s">
        <v>31</v>
      </c>
      <c r="D143">
        <v>2</v>
      </c>
    </row>
    <row r="144" spans="3:4" x14ac:dyDescent="0.3">
      <c r="C144" t="s">
        <v>31</v>
      </c>
      <c r="D144">
        <v>2</v>
      </c>
    </row>
    <row r="145" spans="3:4" x14ac:dyDescent="0.3">
      <c r="C145" t="s">
        <v>31</v>
      </c>
      <c r="D145">
        <v>2</v>
      </c>
    </row>
    <row r="146" spans="3:4" x14ac:dyDescent="0.3">
      <c r="C146" t="s">
        <v>31</v>
      </c>
      <c r="D146">
        <v>2</v>
      </c>
    </row>
    <row r="147" spans="3:4" x14ac:dyDescent="0.3">
      <c r="C147" t="s">
        <v>31</v>
      </c>
      <c r="D147">
        <v>2</v>
      </c>
    </row>
    <row r="148" spans="3:4" x14ac:dyDescent="0.3">
      <c r="C148" t="s">
        <v>31</v>
      </c>
      <c r="D148">
        <v>2</v>
      </c>
    </row>
    <row r="149" spans="3:4" x14ac:dyDescent="0.3">
      <c r="C149" t="s">
        <v>31</v>
      </c>
      <c r="D149">
        <v>2</v>
      </c>
    </row>
    <row r="150" spans="3:4" x14ac:dyDescent="0.3">
      <c r="C150" t="s">
        <v>31</v>
      </c>
      <c r="D150">
        <v>2</v>
      </c>
    </row>
    <row r="151" spans="3:4" x14ac:dyDescent="0.3">
      <c r="C151" t="s">
        <v>31</v>
      </c>
      <c r="D151">
        <v>2</v>
      </c>
    </row>
    <row r="152" spans="3:4" x14ac:dyDescent="0.3">
      <c r="C152" t="s">
        <v>31</v>
      </c>
      <c r="D152">
        <v>2</v>
      </c>
    </row>
    <row r="153" spans="3:4" x14ac:dyDescent="0.3">
      <c r="C153" t="s">
        <v>31</v>
      </c>
      <c r="D153">
        <v>2</v>
      </c>
    </row>
    <row r="154" spans="3:4" x14ac:dyDescent="0.3">
      <c r="C154" t="s">
        <v>31</v>
      </c>
      <c r="D154">
        <v>2</v>
      </c>
    </row>
    <row r="155" spans="3:4" x14ac:dyDescent="0.3">
      <c r="C155" t="s">
        <v>31</v>
      </c>
      <c r="D155">
        <v>2</v>
      </c>
    </row>
    <row r="156" spans="3:4" x14ac:dyDescent="0.3">
      <c r="C156" t="s">
        <v>31</v>
      </c>
      <c r="D156">
        <v>2</v>
      </c>
    </row>
    <row r="157" spans="3:4" x14ac:dyDescent="0.3">
      <c r="C157" t="s">
        <v>31</v>
      </c>
      <c r="D157">
        <v>2</v>
      </c>
    </row>
    <row r="158" spans="3:4" x14ac:dyDescent="0.3">
      <c r="C158" t="s">
        <v>31</v>
      </c>
      <c r="D158">
        <v>2</v>
      </c>
    </row>
    <row r="159" spans="3:4" x14ac:dyDescent="0.3">
      <c r="C159" t="s">
        <v>31</v>
      </c>
      <c r="D159">
        <v>2</v>
      </c>
    </row>
    <row r="160" spans="3:4" x14ac:dyDescent="0.3">
      <c r="C160" t="s">
        <v>31</v>
      </c>
      <c r="D160">
        <v>2</v>
      </c>
    </row>
    <row r="161" spans="3:4" x14ac:dyDescent="0.3">
      <c r="C161" t="s">
        <v>31</v>
      </c>
      <c r="D161">
        <v>2</v>
      </c>
    </row>
    <row r="162" spans="3:4" x14ac:dyDescent="0.3">
      <c r="C162" t="s">
        <v>31</v>
      </c>
      <c r="D162">
        <v>2</v>
      </c>
    </row>
    <row r="163" spans="3:4" x14ac:dyDescent="0.3">
      <c r="C163" t="s">
        <v>31</v>
      </c>
      <c r="D163">
        <v>2</v>
      </c>
    </row>
    <row r="164" spans="3:4" x14ac:dyDescent="0.3">
      <c r="C164" t="s">
        <v>31</v>
      </c>
      <c r="D164">
        <v>2</v>
      </c>
    </row>
    <row r="165" spans="3:4" x14ac:dyDescent="0.3">
      <c r="C165" t="s">
        <v>31</v>
      </c>
      <c r="D165">
        <v>2</v>
      </c>
    </row>
    <row r="166" spans="3:4" x14ac:dyDescent="0.3">
      <c r="C166" t="s">
        <v>31</v>
      </c>
      <c r="D166">
        <v>2</v>
      </c>
    </row>
    <row r="167" spans="3:4" x14ac:dyDescent="0.3">
      <c r="C167" t="s">
        <v>31</v>
      </c>
      <c r="D167">
        <v>2</v>
      </c>
    </row>
    <row r="168" spans="3:4" x14ac:dyDescent="0.3">
      <c r="C168" t="s">
        <v>31</v>
      </c>
      <c r="D168">
        <v>2</v>
      </c>
    </row>
    <row r="169" spans="3:4" x14ac:dyDescent="0.3">
      <c r="C169" t="s">
        <v>31</v>
      </c>
      <c r="D169">
        <v>2</v>
      </c>
    </row>
    <row r="170" spans="3:4" x14ac:dyDescent="0.3">
      <c r="C170" t="s">
        <v>31</v>
      </c>
      <c r="D170">
        <v>2</v>
      </c>
    </row>
    <row r="171" spans="3:4" x14ac:dyDescent="0.3">
      <c r="C171" t="s">
        <v>31</v>
      </c>
      <c r="D171">
        <v>2</v>
      </c>
    </row>
    <row r="172" spans="3:4" x14ac:dyDescent="0.3">
      <c r="C172" t="s">
        <v>31</v>
      </c>
      <c r="D172">
        <v>2</v>
      </c>
    </row>
    <row r="173" spans="3:4" x14ac:dyDescent="0.3">
      <c r="C173" t="s">
        <v>31</v>
      </c>
      <c r="D173">
        <v>2</v>
      </c>
    </row>
    <row r="174" spans="3:4" x14ac:dyDescent="0.3">
      <c r="C174" t="s">
        <v>31</v>
      </c>
      <c r="D174">
        <v>2</v>
      </c>
    </row>
    <row r="175" spans="3:4" x14ac:dyDescent="0.3">
      <c r="C175" t="s">
        <v>31</v>
      </c>
      <c r="D175">
        <v>2</v>
      </c>
    </row>
    <row r="176" spans="3:4" x14ac:dyDescent="0.3">
      <c r="C176" t="s">
        <v>31</v>
      </c>
      <c r="D176">
        <v>2</v>
      </c>
    </row>
    <row r="177" spans="3:4" x14ac:dyDescent="0.3">
      <c r="C177" t="s">
        <v>31</v>
      </c>
      <c r="D177">
        <v>2</v>
      </c>
    </row>
    <row r="178" spans="3:4" x14ac:dyDescent="0.3">
      <c r="C178" t="s">
        <v>31</v>
      </c>
      <c r="D178">
        <v>2</v>
      </c>
    </row>
    <row r="179" spans="3:4" x14ac:dyDescent="0.3">
      <c r="C179" t="s">
        <v>31</v>
      </c>
      <c r="D179">
        <v>2</v>
      </c>
    </row>
    <row r="180" spans="3:4" x14ac:dyDescent="0.3">
      <c r="C180" t="s">
        <v>31</v>
      </c>
      <c r="D180">
        <v>2</v>
      </c>
    </row>
    <row r="181" spans="3:4" x14ac:dyDescent="0.3">
      <c r="C181" t="s">
        <v>31</v>
      </c>
      <c r="D181">
        <v>2</v>
      </c>
    </row>
    <row r="182" spans="3:4" x14ac:dyDescent="0.3">
      <c r="C182" t="s">
        <v>31</v>
      </c>
      <c r="D182">
        <v>2</v>
      </c>
    </row>
    <row r="183" spans="3:4" x14ac:dyDescent="0.3">
      <c r="C183" t="s">
        <v>31</v>
      </c>
      <c r="D183">
        <v>2</v>
      </c>
    </row>
    <row r="184" spans="3:4" x14ac:dyDescent="0.3">
      <c r="C184" t="s">
        <v>31</v>
      </c>
      <c r="D184">
        <v>2</v>
      </c>
    </row>
    <row r="185" spans="3:4" x14ac:dyDescent="0.3">
      <c r="C185" t="s">
        <v>31</v>
      </c>
      <c r="D185">
        <v>2</v>
      </c>
    </row>
    <row r="186" spans="3:4" x14ac:dyDescent="0.3">
      <c r="C186" t="s">
        <v>31</v>
      </c>
      <c r="D186">
        <v>2</v>
      </c>
    </row>
    <row r="187" spans="3:4" x14ac:dyDescent="0.3">
      <c r="C187" t="s">
        <v>31</v>
      </c>
      <c r="D187">
        <v>2</v>
      </c>
    </row>
    <row r="188" spans="3:4" x14ac:dyDescent="0.3">
      <c r="C188" t="s">
        <v>31</v>
      </c>
      <c r="D188">
        <v>2</v>
      </c>
    </row>
    <row r="189" spans="3:4" x14ac:dyDescent="0.3">
      <c r="C189" t="s">
        <v>31</v>
      </c>
      <c r="D189">
        <v>2</v>
      </c>
    </row>
    <row r="190" spans="3:4" x14ac:dyDescent="0.3">
      <c r="C190" t="s">
        <v>31</v>
      </c>
      <c r="D190">
        <v>2</v>
      </c>
    </row>
    <row r="191" spans="3:4" x14ac:dyDescent="0.3">
      <c r="C191" t="s">
        <v>31</v>
      </c>
      <c r="D191">
        <v>2</v>
      </c>
    </row>
    <row r="192" spans="3:4" x14ac:dyDescent="0.3">
      <c r="C192" t="s">
        <v>31</v>
      </c>
      <c r="D192">
        <v>2</v>
      </c>
    </row>
    <row r="193" spans="3:7" x14ac:dyDescent="0.3">
      <c r="C193" t="s">
        <v>31</v>
      </c>
      <c r="D193">
        <v>2</v>
      </c>
    </row>
    <row r="194" spans="3:7" x14ac:dyDescent="0.3">
      <c r="C194" t="s">
        <v>31</v>
      </c>
      <c r="D194">
        <v>2</v>
      </c>
      <c r="F194" s="26"/>
      <c r="G194" s="26"/>
    </row>
    <row r="195" spans="3:7" x14ac:dyDescent="0.3">
      <c r="C195" t="s">
        <v>31</v>
      </c>
      <c r="D195">
        <v>2</v>
      </c>
    </row>
    <row r="196" spans="3:7" x14ac:dyDescent="0.3">
      <c r="C196" t="s">
        <v>31</v>
      </c>
      <c r="D196">
        <v>2</v>
      </c>
    </row>
    <row r="197" spans="3:7" x14ac:dyDescent="0.3">
      <c r="C197" t="s">
        <v>31</v>
      </c>
      <c r="D197">
        <v>2</v>
      </c>
    </row>
    <row r="198" spans="3:7" x14ac:dyDescent="0.3">
      <c r="C198" t="s">
        <v>31</v>
      </c>
      <c r="D198">
        <v>2</v>
      </c>
    </row>
    <row r="199" spans="3:7" x14ac:dyDescent="0.3">
      <c r="C199" t="s">
        <v>31</v>
      </c>
      <c r="D199">
        <v>2</v>
      </c>
    </row>
    <row r="200" spans="3:7" x14ac:dyDescent="0.3">
      <c r="C200" t="s">
        <v>31</v>
      </c>
      <c r="D200">
        <v>2</v>
      </c>
    </row>
    <row r="201" spans="3:7" x14ac:dyDescent="0.3">
      <c r="C201" t="s">
        <v>31</v>
      </c>
      <c r="D201">
        <v>2</v>
      </c>
    </row>
    <row r="202" spans="3:7" x14ac:dyDescent="0.3">
      <c r="C202" t="s">
        <v>31</v>
      </c>
      <c r="D202">
        <v>2</v>
      </c>
    </row>
    <row r="203" spans="3:7" x14ac:dyDescent="0.3">
      <c r="C203" t="s">
        <v>31</v>
      </c>
      <c r="D203">
        <v>2</v>
      </c>
    </row>
    <row r="204" spans="3:7" x14ac:dyDescent="0.3">
      <c r="C204" t="s">
        <v>31</v>
      </c>
      <c r="D204">
        <v>2</v>
      </c>
    </row>
    <row r="205" spans="3:7" x14ac:dyDescent="0.3">
      <c r="C205" t="s">
        <v>31</v>
      </c>
      <c r="D205">
        <v>2</v>
      </c>
    </row>
    <row r="206" spans="3:7" x14ac:dyDescent="0.3">
      <c r="C206" t="s">
        <v>31</v>
      </c>
      <c r="D206">
        <v>2</v>
      </c>
    </row>
    <row r="207" spans="3:7" x14ac:dyDescent="0.3">
      <c r="C207" t="s">
        <v>31</v>
      </c>
      <c r="D207">
        <v>2</v>
      </c>
    </row>
    <row r="208" spans="3:7" x14ac:dyDescent="0.3">
      <c r="C208" t="s">
        <v>31</v>
      </c>
      <c r="D208">
        <v>2</v>
      </c>
    </row>
    <row r="209" spans="3:4" x14ac:dyDescent="0.3">
      <c r="C209" t="s">
        <v>31</v>
      </c>
      <c r="D209">
        <v>2</v>
      </c>
    </row>
    <row r="210" spans="3:4" x14ac:dyDescent="0.3">
      <c r="C210" t="s">
        <v>31</v>
      </c>
      <c r="D210">
        <v>2</v>
      </c>
    </row>
    <row r="211" spans="3:4" x14ac:dyDescent="0.3">
      <c r="C211" t="s">
        <v>31</v>
      </c>
      <c r="D211">
        <v>2</v>
      </c>
    </row>
    <row r="213" spans="3:4" x14ac:dyDescent="0.3">
      <c r="C213" t="s">
        <v>47</v>
      </c>
      <c r="D213" s="3">
        <f>AVERAGE(D$3:D$211)</f>
        <v>1.4976076555023923</v>
      </c>
    </row>
    <row r="215" spans="3:4" ht="15.6" x14ac:dyDescent="0.3">
      <c r="C215" t="s">
        <v>48</v>
      </c>
      <c r="D215" s="4">
        <f>STDEV(D$3:D$211)</f>
        <v>0.5011947448335865</v>
      </c>
    </row>
    <row r="218" spans="3:4" x14ac:dyDescent="0.3">
      <c r="C218" t="s">
        <v>49</v>
      </c>
      <c r="D218">
        <f>MIN(D$3:D$211)</f>
        <v>1</v>
      </c>
    </row>
    <row r="220" spans="3:4" x14ac:dyDescent="0.3">
      <c r="C220" t="s">
        <v>50</v>
      </c>
      <c r="D220" s="3">
        <f>QUARTILE(D$3:D$211,1)</f>
        <v>1</v>
      </c>
    </row>
    <row r="222" spans="3:4" x14ac:dyDescent="0.3">
      <c r="C222" t="s">
        <v>51</v>
      </c>
      <c r="D222" s="3">
        <f>MEDIAN(D$3:D$211)</f>
        <v>1</v>
      </c>
    </row>
    <row r="224" spans="3:4" x14ac:dyDescent="0.3">
      <c r="C224" t="s">
        <v>52</v>
      </c>
      <c r="D224">
        <f>QUARTILE(D$3:D$211,3)</f>
        <v>2</v>
      </c>
    </row>
    <row r="226" spans="3:4" x14ac:dyDescent="0.3">
      <c r="C226" t="s">
        <v>53</v>
      </c>
      <c r="D226">
        <f>MAX(D$3:D$211)</f>
        <v>2</v>
      </c>
    </row>
    <row r="228" spans="3:4" x14ac:dyDescent="0.3">
      <c r="C228" t="s">
        <v>54</v>
      </c>
      <c r="D228">
        <f>D226-D218</f>
        <v>1</v>
      </c>
    </row>
    <row r="230" spans="3:4" x14ac:dyDescent="0.3">
      <c r="C230" t="s">
        <v>55</v>
      </c>
      <c r="D230">
        <f>D220-D224</f>
        <v>-1</v>
      </c>
    </row>
    <row r="232" spans="3:4" x14ac:dyDescent="0.3">
      <c r="C232" t="s">
        <v>56</v>
      </c>
      <c r="D232">
        <f>MODE(D$3:D$211)</f>
        <v>1</v>
      </c>
    </row>
  </sheetData>
  <sortState xmlns:xlrd2="http://schemas.microsoft.com/office/spreadsheetml/2017/richdata2" ref="C3:C211">
    <sortCondition ref="C3:C211"/>
  </sortState>
  <pageMargins left="0.7" right="0.7" top="0.75" bottom="0.75" header="0.3" footer="0.3"/>
  <pageSetup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EC152-2DA4-4C92-ACCD-8A2007B54E2E}">
  <dimension ref="D1:L232"/>
  <sheetViews>
    <sheetView workbookViewId="0">
      <selection activeCell="H14" sqref="H14"/>
    </sheetView>
  </sheetViews>
  <sheetFormatPr defaultRowHeight="14.4" x14ac:dyDescent="0.3"/>
  <cols>
    <col min="7" max="7" width="20" customWidth="1"/>
    <col min="8" max="8" width="12.5546875" customWidth="1"/>
  </cols>
  <sheetData>
    <row r="1" spans="4:12" x14ac:dyDescent="0.3">
      <c r="D1">
        <v>4</v>
      </c>
    </row>
    <row r="2" spans="4:12" x14ac:dyDescent="0.3">
      <c r="D2" t="s">
        <v>3</v>
      </c>
      <c r="E2" t="s">
        <v>96</v>
      </c>
    </row>
    <row r="3" spans="4:12" x14ac:dyDescent="0.3">
      <c r="D3">
        <v>10550</v>
      </c>
      <c r="E3">
        <f>DATEDIF(0,D3,"Y")</f>
        <v>28</v>
      </c>
      <c r="H3" t="s">
        <v>71</v>
      </c>
      <c r="I3" t="s">
        <v>97</v>
      </c>
    </row>
    <row r="4" spans="4:12" x14ac:dyDescent="0.3">
      <c r="D4">
        <v>11058</v>
      </c>
      <c r="E4">
        <f t="shared" ref="E4:E67" si="0">DATEDIF(0,D4,"Y")</f>
        <v>30</v>
      </c>
      <c r="H4" t="s">
        <v>98</v>
      </c>
      <c r="I4">
        <v>0</v>
      </c>
    </row>
    <row r="5" spans="4:12" x14ac:dyDescent="0.3">
      <c r="D5">
        <v>11273</v>
      </c>
      <c r="E5">
        <f t="shared" si="0"/>
        <v>30</v>
      </c>
    </row>
    <row r="6" spans="4:12" x14ac:dyDescent="0.3">
      <c r="D6">
        <v>11868</v>
      </c>
      <c r="E6">
        <f t="shared" si="0"/>
        <v>32</v>
      </c>
      <c r="H6" t="s">
        <v>99</v>
      </c>
    </row>
    <row r="7" spans="4:12" x14ac:dyDescent="0.3">
      <c r="D7">
        <v>11912</v>
      </c>
      <c r="E7">
        <f t="shared" si="0"/>
        <v>32</v>
      </c>
      <c r="H7" t="s">
        <v>64</v>
      </c>
      <c r="I7" t="s">
        <v>86</v>
      </c>
    </row>
    <row r="8" spans="4:12" x14ac:dyDescent="0.3">
      <c r="D8">
        <v>12227</v>
      </c>
      <c r="E8">
        <f t="shared" si="0"/>
        <v>33</v>
      </c>
      <c r="G8" t="s">
        <v>181</v>
      </c>
      <c r="H8" t="s">
        <v>180</v>
      </c>
      <c r="I8">
        <v>33</v>
      </c>
      <c r="J8" s="18"/>
    </row>
    <row r="9" spans="4:12" x14ac:dyDescent="0.3">
      <c r="D9">
        <v>12279</v>
      </c>
      <c r="E9">
        <f t="shared" si="0"/>
        <v>33</v>
      </c>
      <c r="G9" t="s">
        <v>182</v>
      </c>
      <c r="H9" s="6" t="s">
        <v>162</v>
      </c>
      <c r="I9">
        <v>139</v>
      </c>
      <c r="J9" s="18"/>
      <c r="K9" s="18"/>
    </row>
    <row r="10" spans="4:12" x14ac:dyDescent="0.3">
      <c r="D10">
        <v>12285</v>
      </c>
      <c r="E10">
        <f t="shared" si="0"/>
        <v>33</v>
      </c>
      <c r="G10" t="s">
        <v>183</v>
      </c>
      <c r="H10" t="s">
        <v>163</v>
      </c>
      <c r="I10">
        <v>37</v>
      </c>
      <c r="L10" s="7"/>
    </row>
    <row r="11" spans="4:12" x14ac:dyDescent="0.3">
      <c r="D11">
        <v>12307</v>
      </c>
      <c r="E11">
        <f t="shared" si="0"/>
        <v>33</v>
      </c>
      <c r="L11" s="7"/>
    </row>
    <row r="12" spans="4:12" x14ac:dyDescent="0.3">
      <c r="D12">
        <v>12369</v>
      </c>
      <c r="E12">
        <f t="shared" si="0"/>
        <v>33</v>
      </c>
      <c r="L12" s="7"/>
    </row>
    <row r="13" spans="4:12" x14ac:dyDescent="0.3">
      <c r="D13">
        <v>12433</v>
      </c>
      <c r="E13">
        <f t="shared" si="0"/>
        <v>34</v>
      </c>
      <c r="L13" s="7"/>
    </row>
    <row r="14" spans="4:12" x14ac:dyDescent="0.3">
      <c r="D14">
        <v>12636</v>
      </c>
      <c r="E14">
        <f t="shared" si="0"/>
        <v>34</v>
      </c>
      <c r="L14" s="7"/>
    </row>
    <row r="15" spans="4:12" x14ac:dyDescent="0.3">
      <c r="D15">
        <v>12779</v>
      </c>
      <c r="E15">
        <f t="shared" si="0"/>
        <v>34</v>
      </c>
      <c r="H15" s="5"/>
      <c r="L15" s="7"/>
    </row>
    <row r="16" spans="4:12" x14ac:dyDescent="0.3">
      <c r="D16">
        <v>12839</v>
      </c>
      <c r="E16">
        <f t="shared" si="0"/>
        <v>35</v>
      </c>
      <c r="L16" s="7"/>
    </row>
    <row r="17" spans="4:12" x14ac:dyDescent="0.3">
      <c r="D17">
        <v>12963</v>
      </c>
      <c r="E17">
        <f t="shared" si="0"/>
        <v>35</v>
      </c>
      <c r="L17" s="7"/>
    </row>
    <row r="18" spans="4:12" x14ac:dyDescent="0.3">
      <c r="D18">
        <v>13073</v>
      </c>
      <c r="E18">
        <f t="shared" si="0"/>
        <v>35</v>
      </c>
      <c r="L18" s="7"/>
    </row>
    <row r="19" spans="4:12" x14ac:dyDescent="0.3">
      <c r="D19">
        <v>13178</v>
      </c>
      <c r="E19">
        <f t="shared" si="0"/>
        <v>36</v>
      </c>
      <c r="G19" t="s">
        <v>184</v>
      </c>
      <c r="H19" t="s">
        <v>185</v>
      </c>
      <c r="L19" s="7"/>
    </row>
    <row r="20" spans="4:12" x14ac:dyDescent="0.3">
      <c r="D20">
        <v>13329</v>
      </c>
      <c r="E20">
        <f t="shared" si="0"/>
        <v>36</v>
      </c>
      <c r="G20" t="s">
        <v>76</v>
      </c>
      <c r="H20" t="s">
        <v>186</v>
      </c>
      <c r="L20" s="7"/>
    </row>
    <row r="21" spans="4:12" x14ac:dyDescent="0.3">
      <c r="D21">
        <v>13344</v>
      </c>
      <c r="E21">
        <f t="shared" si="0"/>
        <v>36</v>
      </c>
      <c r="G21" t="s">
        <v>77</v>
      </c>
      <c r="H21" t="s">
        <v>187</v>
      </c>
      <c r="L21" s="7"/>
    </row>
    <row r="22" spans="4:12" x14ac:dyDescent="0.3">
      <c r="D22">
        <v>13378</v>
      </c>
      <c r="E22">
        <f t="shared" si="0"/>
        <v>36</v>
      </c>
      <c r="G22" t="s">
        <v>78</v>
      </c>
      <c r="H22" t="s">
        <v>188</v>
      </c>
      <c r="L22" s="7"/>
    </row>
    <row r="23" spans="4:12" x14ac:dyDescent="0.3">
      <c r="D23">
        <v>13616</v>
      </c>
      <c r="E23">
        <f t="shared" si="0"/>
        <v>37</v>
      </c>
      <c r="G23" t="s">
        <v>79</v>
      </c>
      <c r="H23" t="s">
        <v>189</v>
      </c>
      <c r="L23" s="7"/>
    </row>
    <row r="24" spans="4:12" x14ac:dyDescent="0.3">
      <c r="D24">
        <v>13727</v>
      </c>
      <c r="E24">
        <f t="shared" si="0"/>
        <v>37</v>
      </c>
      <c r="G24" t="s">
        <v>80</v>
      </c>
      <c r="H24" t="s">
        <v>190</v>
      </c>
      <c r="L24" s="7"/>
    </row>
    <row r="25" spans="4:12" x14ac:dyDescent="0.3">
      <c r="D25">
        <v>13736</v>
      </c>
      <c r="E25">
        <f t="shared" si="0"/>
        <v>37</v>
      </c>
    </row>
    <row r="26" spans="4:12" x14ac:dyDescent="0.3">
      <c r="D26">
        <v>13918</v>
      </c>
      <c r="E26">
        <f t="shared" si="0"/>
        <v>38</v>
      </c>
    </row>
    <row r="27" spans="4:12" x14ac:dyDescent="0.3">
      <c r="D27">
        <v>14025</v>
      </c>
      <c r="E27">
        <f t="shared" si="0"/>
        <v>38</v>
      </c>
    </row>
    <row r="28" spans="4:12" x14ac:dyDescent="0.3">
      <c r="D28">
        <v>14060</v>
      </c>
      <c r="E28">
        <f t="shared" si="0"/>
        <v>38</v>
      </c>
    </row>
    <row r="29" spans="4:12" x14ac:dyDescent="0.3">
      <c r="D29">
        <v>14212</v>
      </c>
      <c r="E29">
        <f t="shared" si="0"/>
        <v>38</v>
      </c>
    </row>
    <row r="30" spans="4:12" x14ac:dyDescent="0.3">
      <c r="D30">
        <v>14317</v>
      </c>
      <c r="E30">
        <f t="shared" si="0"/>
        <v>39</v>
      </c>
    </row>
    <row r="31" spans="4:12" x14ac:dyDescent="0.3">
      <c r="D31">
        <v>14684</v>
      </c>
      <c r="E31">
        <f t="shared" si="0"/>
        <v>40</v>
      </c>
    </row>
    <row r="32" spans="4:12" x14ac:dyDescent="0.3">
      <c r="D32">
        <v>14705</v>
      </c>
      <c r="E32">
        <f t="shared" si="0"/>
        <v>40</v>
      </c>
    </row>
    <row r="33" spans="4:5" x14ac:dyDescent="0.3">
      <c r="D33">
        <v>14754</v>
      </c>
      <c r="E33">
        <f t="shared" si="0"/>
        <v>40</v>
      </c>
    </row>
    <row r="34" spans="4:5" x14ac:dyDescent="0.3">
      <c r="D34">
        <v>14772</v>
      </c>
      <c r="E34">
        <f t="shared" si="0"/>
        <v>40</v>
      </c>
    </row>
    <row r="35" spans="4:5" x14ac:dyDescent="0.3">
      <c r="D35">
        <v>14812</v>
      </c>
      <c r="E35">
        <f t="shared" si="0"/>
        <v>40</v>
      </c>
    </row>
    <row r="36" spans="4:5" x14ac:dyDescent="0.3">
      <c r="D36">
        <v>15031</v>
      </c>
      <c r="E36">
        <f t="shared" si="0"/>
        <v>41</v>
      </c>
    </row>
    <row r="37" spans="4:5" x14ac:dyDescent="0.3">
      <c r="D37">
        <v>15037</v>
      </c>
      <c r="E37">
        <f t="shared" si="0"/>
        <v>41</v>
      </c>
    </row>
    <row r="38" spans="4:5" x14ac:dyDescent="0.3">
      <c r="D38">
        <v>15105</v>
      </c>
      <c r="E38">
        <f t="shared" si="0"/>
        <v>41</v>
      </c>
    </row>
    <row r="39" spans="4:5" x14ac:dyDescent="0.3">
      <c r="D39">
        <v>15116</v>
      </c>
      <c r="E39">
        <f t="shared" si="0"/>
        <v>41</v>
      </c>
    </row>
    <row r="40" spans="4:5" x14ac:dyDescent="0.3">
      <c r="D40">
        <v>15119</v>
      </c>
      <c r="E40">
        <f t="shared" si="0"/>
        <v>41</v>
      </c>
    </row>
    <row r="41" spans="4:5" x14ac:dyDescent="0.3">
      <c r="D41">
        <v>15177</v>
      </c>
      <c r="E41">
        <f t="shared" si="0"/>
        <v>41</v>
      </c>
    </row>
    <row r="42" spans="4:5" x14ac:dyDescent="0.3">
      <c r="D42">
        <v>15198</v>
      </c>
      <c r="E42">
        <f t="shared" si="0"/>
        <v>41</v>
      </c>
    </row>
    <row r="43" spans="4:5" x14ac:dyDescent="0.3">
      <c r="D43">
        <v>15265</v>
      </c>
      <c r="E43">
        <f t="shared" si="0"/>
        <v>41</v>
      </c>
    </row>
    <row r="44" spans="4:5" x14ac:dyDescent="0.3">
      <c r="D44">
        <v>15322</v>
      </c>
      <c r="E44">
        <f t="shared" si="0"/>
        <v>41</v>
      </c>
    </row>
    <row r="45" spans="4:5" x14ac:dyDescent="0.3">
      <c r="D45">
        <v>15463</v>
      </c>
      <c r="E45">
        <f t="shared" si="0"/>
        <v>42</v>
      </c>
    </row>
    <row r="46" spans="4:5" x14ac:dyDescent="0.3">
      <c r="D46">
        <v>15526</v>
      </c>
      <c r="E46">
        <f t="shared" si="0"/>
        <v>42</v>
      </c>
    </row>
    <row r="47" spans="4:5" x14ac:dyDescent="0.3">
      <c r="D47">
        <v>15548</v>
      </c>
      <c r="E47">
        <f t="shared" si="0"/>
        <v>42</v>
      </c>
    </row>
    <row r="48" spans="4:5" x14ac:dyDescent="0.3">
      <c r="D48">
        <v>15574</v>
      </c>
      <c r="E48">
        <f t="shared" si="0"/>
        <v>42</v>
      </c>
    </row>
    <row r="49" spans="4:5" x14ac:dyDescent="0.3">
      <c r="D49">
        <v>15601</v>
      </c>
      <c r="E49">
        <f t="shared" si="0"/>
        <v>42</v>
      </c>
    </row>
    <row r="50" spans="4:5" x14ac:dyDescent="0.3">
      <c r="D50">
        <v>15612</v>
      </c>
      <c r="E50">
        <f t="shared" si="0"/>
        <v>42</v>
      </c>
    </row>
    <row r="51" spans="4:5" x14ac:dyDescent="0.3">
      <c r="D51">
        <v>15694</v>
      </c>
      <c r="E51">
        <f t="shared" si="0"/>
        <v>42</v>
      </c>
    </row>
    <row r="52" spans="4:5" x14ac:dyDescent="0.3">
      <c r="D52">
        <v>15712</v>
      </c>
      <c r="E52">
        <f t="shared" si="0"/>
        <v>43</v>
      </c>
    </row>
    <row r="53" spans="4:5" x14ac:dyDescent="0.3">
      <c r="D53">
        <v>15857</v>
      </c>
      <c r="E53">
        <f t="shared" si="0"/>
        <v>43</v>
      </c>
    </row>
    <row r="54" spans="4:5" x14ac:dyDescent="0.3">
      <c r="D54">
        <v>15895</v>
      </c>
      <c r="E54">
        <f t="shared" si="0"/>
        <v>43</v>
      </c>
    </row>
    <row r="55" spans="4:5" x14ac:dyDescent="0.3">
      <c r="D55">
        <v>15909</v>
      </c>
      <c r="E55">
        <f t="shared" si="0"/>
        <v>43</v>
      </c>
    </row>
    <row r="56" spans="4:5" x14ac:dyDescent="0.3">
      <c r="D56">
        <v>16034</v>
      </c>
      <c r="E56">
        <f t="shared" si="0"/>
        <v>43</v>
      </c>
    </row>
    <row r="57" spans="4:5" x14ac:dyDescent="0.3">
      <c r="D57">
        <v>16050</v>
      </c>
      <c r="E57">
        <f t="shared" si="0"/>
        <v>43</v>
      </c>
    </row>
    <row r="58" spans="4:5" x14ac:dyDescent="0.3">
      <c r="D58">
        <v>16094</v>
      </c>
      <c r="E58">
        <f t="shared" si="0"/>
        <v>44</v>
      </c>
    </row>
    <row r="59" spans="4:5" x14ac:dyDescent="0.3">
      <c r="D59">
        <v>16109</v>
      </c>
      <c r="E59">
        <f t="shared" si="0"/>
        <v>44</v>
      </c>
    </row>
    <row r="60" spans="4:5" x14ac:dyDescent="0.3">
      <c r="D60">
        <v>16154</v>
      </c>
      <c r="E60">
        <f t="shared" si="0"/>
        <v>44</v>
      </c>
    </row>
    <row r="61" spans="4:5" x14ac:dyDescent="0.3">
      <c r="D61">
        <v>16261</v>
      </c>
      <c r="E61">
        <f t="shared" si="0"/>
        <v>44</v>
      </c>
    </row>
    <row r="62" spans="4:5" x14ac:dyDescent="0.3">
      <c r="D62">
        <v>16279</v>
      </c>
      <c r="E62">
        <f t="shared" si="0"/>
        <v>44</v>
      </c>
    </row>
    <row r="63" spans="4:5" x14ac:dyDescent="0.3">
      <c r="D63">
        <v>16279</v>
      </c>
      <c r="E63">
        <f t="shared" si="0"/>
        <v>44</v>
      </c>
    </row>
    <row r="64" spans="4:5" x14ac:dyDescent="0.3">
      <c r="D64">
        <v>16417</v>
      </c>
      <c r="E64">
        <f t="shared" si="0"/>
        <v>44</v>
      </c>
    </row>
    <row r="65" spans="4:5" x14ac:dyDescent="0.3">
      <c r="D65">
        <v>16418</v>
      </c>
      <c r="E65">
        <f t="shared" si="0"/>
        <v>44</v>
      </c>
    </row>
    <row r="66" spans="4:5" x14ac:dyDescent="0.3">
      <c r="D66">
        <v>16463</v>
      </c>
      <c r="E66">
        <f t="shared" si="0"/>
        <v>45</v>
      </c>
    </row>
    <row r="67" spans="4:5" x14ac:dyDescent="0.3">
      <c r="D67">
        <v>16658</v>
      </c>
      <c r="E67">
        <f t="shared" si="0"/>
        <v>45</v>
      </c>
    </row>
    <row r="68" spans="4:5" x14ac:dyDescent="0.3">
      <c r="D68">
        <v>16688</v>
      </c>
      <c r="E68">
        <f t="shared" ref="E68:E131" si="1">DATEDIF(0,D68,"Y")</f>
        <v>45</v>
      </c>
    </row>
    <row r="69" spans="4:5" x14ac:dyDescent="0.3">
      <c r="D69">
        <v>16714</v>
      </c>
      <c r="E69">
        <f t="shared" si="1"/>
        <v>45</v>
      </c>
    </row>
    <row r="70" spans="4:5" x14ac:dyDescent="0.3">
      <c r="D70">
        <v>16728</v>
      </c>
      <c r="E70">
        <f t="shared" si="1"/>
        <v>45</v>
      </c>
    </row>
    <row r="71" spans="4:5" x14ac:dyDescent="0.3">
      <c r="D71">
        <v>16736</v>
      </c>
      <c r="E71">
        <f t="shared" si="1"/>
        <v>45</v>
      </c>
    </row>
    <row r="72" spans="4:5" x14ac:dyDescent="0.3">
      <c r="D72">
        <v>16839</v>
      </c>
      <c r="E72">
        <f t="shared" si="1"/>
        <v>46</v>
      </c>
    </row>
    <row r="73" spans="4:5" x14ac:dyDescent="0.3">
      <c r="D73">
        <v>16898</v>
      </c>
      <c r="E73">
        <f t="shared" si="1"/>
        <v>46</v>
      </c>
    </row>
    <row r="74" spans="4:5" x14ac:dyDescent="0.3">
      <c r="D74">
        <v>16929</v>
      </c>
      <c r="E74">
        <f t="shared" si="1"/>
        <v>46</v>
      </c>
    </row>
    <row r="75" spans="4:5" x14ac:dyDescent="0.3">
      <c r="D75">
        <v>16944</v>
      </c>
      <c r="E75">
        <f t="shared" si="1"/>
        <v>46</v>
      </c>
    </row>
    <row r="76" spans="4:5" x14ac:dyDescent="0.3">
      <c r="D76">
        <v>16967</v>
      </c>
      <c r="E76">
        <f t="shared" si="1"/>
        <v>46</v>
      </c>
    </row>
    <row r="77" spans="4:5" x14ac:dyDescent="0.3">
      <c r="D77">
        <v>16990</v>
      </c>
      <c r="E77">
        <f t="shared" si="1"/>
        <v>46</v>
      </c>
    </row>
    <row r="78" spans="4:5" x14ac:dyDescent="0.3">
      <c r="D78">
        <v>17031</v>
      </c>
      <c r="E78">
        <f t="shared" si="1"/>
        <v>46</v>
      </c>
    </row>
    <row r="79" spans="4:5" x14ac:dyDescent="0.3">
      <c r="D79">
        <v>17046</v>
      </c>
      <c r="E79">
        <f t="shared" si="1"/>
        <v>46</v>
      </c>
    </row>
    <row r="80" spans="4:5" x14ac:dyDescent="0.3">
      <c r="D80">
        <v>17080</v>
      </c>
      <c r="E80">
        <f t="shared" si="1"/>
        <v>46</v>
      </c>
    </row>
    <row r="81" spans="4:5" x14ac:dyDescent="0.3">
      <c r="D81">
        <v>17180</v>
      </c>
      <c r="E81">
        <f t="shared" si="1"/>
        <v>47</v>
      </c>
    </row>
    <row r="82" spans="4:5" x14ac:dyDescent="0.3">
      <c r="D82">
        <v>17233</v>
      </c>
      <c r="E82">
        <f t="shared" si="1"/>
        <v>47</v>
      </c>
    </row>
    <row r="83" spans="4:5" x14ac:dyDescent="0.3">
      <c r="D83">
        <v>17246</v>
      </c>
      <c r="E83">
        <f t="shared" si="1"/>
        <v>47</v>
      </c>
    </row>
    <row r="84" spans="4:5" x14ac:dyDescent="0.3">
      <c r="D84">
        <v>17263</v>
      </c>
      <c r="E84">
        <f t="shared" si="1"/>
        <v>47</v>
      </c>
    </row>
    <row r="85" spans="4:5" x14ac:dyDescent="0.3">
      <c r="D85">
        <v>17323</v>
      </c>
      <c r="E85">
        <f t="shared" si="1"/>
        <v>47</v>
      </c>
    </row>
    <row r="86" spans="4:5" x14ac:dyDescent="0.3">
      <c r="D86">
        <v>17442</v>
      </c>
      <c r="E86">
        <f t="shared" si="1"/>
        <v>47</v>
      </c>
    </row>
    <row r="87" spans="4:5" x14ac:dyDescent="0.3">
      <c r="D87">
        <v>17512</v>
      </c>
      <c r="E87">
        <f t="shared" si="1"/>
        <v>47</v>
      </c>
    </row>
    <row r="88" spans="4:5" x14ac:dyDescent="0.3">
      <c r="D88">
        <v>17664</v>
      </c>
      <c r="E88">
        <f t="shared" si="1"/>
        <v>48</v>
      </c>
    </row>
    <row r="89" spans="4:5" x14ac:dyDescent="0.3">
      <c r="D89">
        <v>17703</v>
      </c>
      <c r="E89">
        <f t="shared" si="1"/>
        <v>48</v>
      </c>
    </row>
    <row r="90" spans="4:5" x14ac:dyDescent="0.3">
      <c r="D90">
        <v>17758</v>
      </c>
      <c r="E90">
        <f t="shared" si="1"/>
        <v>48</v>
      </c>
    </row>
    <row r="91" spans="4:5" x14ac:dyDescent="0.3">
      <c r="D91">
        <v>17774</v>
      </c>
      <c r="E91">
        <f t="shared" si="1"/>
        <v>48</v>
      </c>
    </row>
    <row r="92" spans="4:5" x14ac:dyDescent="0.3">
      <c r="D92">
        <v>17809</v>
      </c>
      <c r="E92">
        <f t="shared" si="1"/>
        <v>48</v>
      </c>
    </row>
    <row r="93" spans="4:5" x14ac:dyDescent="0.3">
      <c r="D93">
        <v>17841</v>
      </c>
      <c r="E93">
        <f t="shared" si="1"/>
        <v>48</v>
      </c>
    </row>
    <row r="94" spans="4:5" x14ac:dyDescent="0.3">
      <c r="D94">
        <v>17841</v>
      </c>
      <c r="E94">
        <f t="shared" si="1"/>
        <v>48</v>
      </c>
    </row>
    <row r="95" spans="4:5" x14ac:dyDescent="0.3">
      <c r="D95">
        <v>17844</v>
      </c>
      <c r="E95">
        <f t="shared" si="1"/>
        <v>48</v>
      </c>
    </row>
    <row r="96" spans="4:5" x14ac:dyDescent="0.3">
      <c r="D96">
        <v>17850</v>
      </c>
      <c r="E96">
        <f t="shared" si="1"/>
        <v>48</v>
      </c>
    </row>
    <row r="97" spans="4:5" x14ac:dyDescent="0.3">
      <c r="D97">
        <v>17884</v>
      </c>
      <c r="E97">
        <f t="shared" si="1"/>
        <v>48</v>
      </c>
    </row>
    <row r="98" spans="4:5" x14ac:dyDescent="0.3">
      <c r="D98">
        <v>17947</v>
      </c>
      <c r="E98">
        <f t="shared" si="1"/>
        <v>49</v>
      </c>
    </row>
    <row r="99" spans="4:5" x14ac:dyDescent="0.3">
      <c r="D99">
        <v>18021</v>
      </c>
      <c r="E99">
        <f t="shared" si="1"/>
        <v>49</v>
      </c>
    </row>
    <row r="100" spans="4:5" x14ac:dyDescent="0.3">
      <c r="D100">
        <v>18102</v>
      </c>
      <c r="E100">
        <f t="shared" si="1"/>
        <v>49</v>
      </c>
    </row>
    <row r="101" spans="4:5" x14ac:dyDescent="0.3">
      <c r="D101">
        <v>18118</v>
      </c>
      <c r="E101">
        <f t="shared" si="1"/>
        <v>49</v>
      </c>
    </row>
    <row r="102" spans="4:5" x14ac:dyDescent="0.3">
      <c r="D102">
        <v>18137</v>
      </c>
      <c r="E102">
        <f t="shared" si="1"/>
        <v>49</v>
      </c>
    </row>
    <row r="103" spans="4:5" x14ac:dyDescent="0.3">
      <c r="D103">
        <v>18176</v>
      </c>
      <c r="E103">
        <f t="shared" si="1"/>
        <v>49</v>
      </c>
    </row>
    <row r="104" spans="4:5" x14ac:dyDescent="0.3">
      <c r="D104">
        <v>18199</v>
      </c>
      <c r="E104">
        <f t="shared" si="1"/>
        <v>49</v>
      </c>
    </row>
    <row r="105" spans="4:5" x14ac:dyDescent="0.3">
      <c r="D105">
        <v>18215</v>
      </c>
      <c r="E105">
        <f t="shared" si="1"/>
        <v>49</v>
      </c>
    </row>
    <row r="106" spans="4:5" x14ac:dyDescent="0.3">
      <c r="D106">
        <v>18337</v>
      </c>
      <c r="E106">
        <f t="shared" si="1"/>
        <v>50</v>
      </c>
    </row>
    <row r="107" spans="4:5" x14ac:dyDescent="0.3">
      <c r="D107">
        <v>18393</v>
      </c>
      <c r="E107">
        <f t="shared" si="1"/>
        <v>50</v>
      </c>
    </row>
    <row r="108" spans="4:5" x14ac:dyDescent="0.3">
      <c r="D108">
        <v>18460</v>
      </c>
      <c r="E108">
        <f t="shared" si="1"/>
        <v>50</v>
      </c>
    </row>
    <row r="109" spans="4:5" x14ac:dyDescent="0.3">
      <c r="D109">
        <v>18701</v>
      </c>
      <c r="E109">
        <f t="shared" si="1"/>
        <v>51</v>
      </c>
    </row>
    <row r="110" spans="4:5" x14ac:dyDescent="0.3">
      <c r="D110">
        <v>18713</v>
      </c>
      <c r="E110">
        <f t="shared" si="1"/>
        <v>51</v>
      </c>
    </row>
    <row r="111" spans="4:5" x14ac:dyDescent="0.3">
      <c r="D111">
        <v>18719</v>
      </c>
      <c r="E111">
        <f t="shared" si="1"/>
        <v>51</v>
      </c>
    </row>
    <row r="112" spans="4:5" x14ac:dyDescent="0.3">
      <c r="D112">
        <v>18731</v>
      </c>
      <c r="E112">
        <f t="shared" si="1"/>
        <v>51</v>
      </c>
    </row>
    <row r="113" spans="4:5" x14ac:dyDescent="0.3">
      <c r="D113">
        <v>18733</v>
      </c>
      <c r="E113">
        <f t="shared" si="1"/>
        <v>51</v>
      </c>
    </row>
    <row r="114" spans="4:5" x14ac:dyDescent="0.3">
      <c r="D114">
        <v>18799</v>
      </c>
      <c r="E114">
        <f t="shared" si="1"/>
        <v>51</v>
      </c>
    </row>
    <row r="115" spans="4:5" x14ac:dyDescent="0.3">
      <c r="D115">
        <v>18806</v>
      </c>
      <c r="E115">
        <f t="shared" si="1"/>
        <v>51</v>
      </c>
    </row>
    <row r="116" spans="4:5" x14ac:dyDescent="0.3">
      <c r="D116">
        <v>18964</v>
      </c>
      <c r="E116">
        <f t="shared" si="1"/>
        <v>51</v>
      </c>
    </row>
    <row r="117" spans="4:5" x14ac:dyDescent="0.3">
      <c r="D117">
        <v>18972</v>
      </c>
      <c r="E117">
        <f t="shared" si="1"/>
        <v>51</v>
      </c>
    </row>
    <row r="118" spans="4:5" x14ac:dyDescent="0.3">
      <c r="D118">
        <v>19002</v>
      </c>
      <c r="E118">
        <f t="shared" si="1"/>
        <v>52</v>
      </c>
    </row>
    <row r="119" spans="4:5" x14ac:dyDescent="0.3">
      <c r="D119">
        <v>19015</v>
      </c>
      <c r="E119">
        <f t="shared" si="1"/>
        <v>52</v>
      </c>
    </row>
    <row r="120" spans="4:5" x14ac:dyDescent="0.3">
      <c r="D120">
        <v>19025</v>
      </c>
      <c r="E120">
        <f t="shared" si="1"/>
        <v>52</v>
      </c>
    </row>
    <row r="121" spans="4:5" x14ac:dyDescent="0.3">
      <c r="D121">
        <v>19049</v>
      </c>
      <c r="E121">
        <f t="shared" si="1"/>
        <v>52</v>
      </c>
    </row>
    <row r="122" spans="4:5" x14ac:dyDescent="0.3">
      <c r="D122">
        <v>19060</v>
      </c>
      <c r="E122">
        <f t="shared" si="1"/>
        <v>52</v>
      </c>
    </row>
    <row r="123" spans="4:5" x14ac:dyDescent="0.3">
      <c r="D123">
        <v>19098</v>
      </c>
      <c r="E123">
        <f t="shared" si="1"/>
        <v>52</v>
      </c>
    </row>
    <row r="124" spans="4:5" x14ac:dyDescent="0.3">
      <c r="D124">
        <v>19155</v>
      </c>
      <c r="E124">
        <f t="shared" si="1"/>
        <v>52</v>
      </c>
    </row>
    <row r="125" spans="4:5" x14ac:dyDescent="0.3">
      <c r="D125">
        <v>19221</v>
      </c>
      <c r="E125">
        <f t="shared" si="1"/>
        <v>52</v>
      </c>
    </row>
    <row r="126" spans="4:5" x14ac:dyDescent="0.3">
      <c r="D126">
        <v>19237</v>
      </c>
      <c r="E126">
        <f t="shared" si="1"/>
        <v>52</v>
      </c>
    </row>
    <row r="127" spans="4:5" x14ac:dyDescent="0.3">
      <c r="D127">
        <v>19270</v>
      </c>
      <c r="E127">
        <f t="shared" si="1"/>
        <v>52</v>
      </c>
    </row>
    <row r="128" spans="4:5" x14ac:dyDescent="0.3">
      <c r="D128">
        <v>19295</v>
      </c>
      <c r="E128">
        <f t="shared" si="1"/>
        <v>52</v>
      </c>
    </row>
    <row r="129" spans="4:5" x14ac:dyDescent="0.3">
      <c r="D129">
        <v>19318</v>
      </c>
      <c r="E129">
        <f t="shared" si="1"/>
        <v>52</v>
      </c>
    </row>
    <row r="130" spans="4:5" x14ac:dyDescent="0.3">
      <c r="D130">
        <v>19327</v>
      </c>
      <c r="E130">
        <f t="shared" si="1"/>
        <v>52</v>
      </c>
    </row>
    <row r="131" spans="4:5" x14ac:dyDescent="0.3">
      <c r="D131">
        <v>19379</v>
      </c>
      <c r="E131">
        <f t="shared" si="1"/>
        <v>53</v>
      </c>
    </row>
    <row r="132" spans="4:5" x14ac:dyDescent="0.3">
      <c r="D132">
        <v>19470</v>
      </c>
      <c r="E132">
        <f t="shared" ref="E132:E195" si="2">DATEDIF(0,D132,"Y")</f>
        <v>53</v>
      </c>
    </row>
    <row r="133" spans="4:5" x14ac:dyDescent="0.3">
      <c r="D133">
        <v>19540</v>
      </c>
      <c r="E133">
        <f t="shared" si="2"/>
        <v>53</v>
      </c>
    </row>
    <row r="134" spans="4:5" x14ac:dyDescent="0.3">
      <c r="D134">
        <v>19544</v>
      </c>
      <c r="E134">
        <f t="shared" si="2"/>
        <v>53</v>
      </c>
    </row>
    <row r="135" spans="4:5" x14ac:dyDescent="0.3">
      <c r="D135">
        <v>19567</v>
      </c>
      <c r="E135">
        <f t="shared" si="2"/>
        <v>53</v>
      </c>
    </row>
    <row r="136" spans="4:5" x14ac:dyDescent="0.3">
      <c r="D136">
        <v>19577</v>
      </c>
      <c r="E136">
        <f t="shared" si="2"/>
        <v>53</v>
      </c>
    </row>
    <row r="137" spans="4:5" x14ac:dyDescent="0.3">
      <c r="D137">
        <v>19619</v>
      </c>
      <c r="E137">
        <f t="shared" si="2"/>
        <v>53</v>
      </c>
    </row>
    <row r="138" spans="4:5" x14ac:dyDescent="0.3">
      <c r="D138">
        <v>19693</v>
      </c>
      <c r="E138">
        <f t="shared" si="2"/>
        <v>53</v>
      </c>
    </row>
    <row r="139" spans="4:5" x14ac:dyDescent="0.3">
      <c r="D139">
        <v>19698</v>
      </c>
      <c r="E139">
        <f t="shared" si="2"/>
        <v>53</v>
      </c>
    </row>
    <row r="140" spans="4:5" x14ac:dyDescent="0.3">
      <c r="D140">
        <v>19722</v>
      </c>
      <c r="E140">
        <f t="shared" si="2"/>
        <v>53</v>
      </c>
    </row>
    <row r="141" spans="4:5" x14ac:dyDescent="0.3">
      <c r="D141">
        <v>19751</v>
      </c>
      <c r="E141">
        <f t="shared" si="2"/>
        <v>54</v>
      </c>
    </row>
    <row r="142" spans="4:5" x14ac:dyDescent="0.3">
      <c r="D142">
        <v>19817</v>
      </c>
      <c r="E142">
        <f t="shared" si="2"/>
        <v>54</v>
      </c>
    </row>
    <row r="143" spans="4:5" x14ac:dyDescent="0.3">
      <c r="D143">
        <v>19884</v>
      </c>
      <c r="E143">
        <f t="shared" si="2"/>
        <v>54</v>
      </c>
    </row>
    <row r="144" spans="4:5" x14ac:dyDescent="0.3">
      <c r="D144">
        <v>19994</v>
      </c>
      <c r="E144">
        <f t="shared" si="2"/>
        <v>54</v>
      </c>
    </row>
    <row r="145" spans="4:5" x14ac:dyDescent="0.3">
      <c r="D145">
        <v>20104</v>
      </c>
      <c r="E145">
        <f t="shared" si="2"/>
        <v>55</v>
      </c>
    </row>
    <row r="146" spans="4:5" x14ac:dyDescent="0.3">
      <c r="D146">
        <v>20232</v>
      </c>
      <c r="E146">
        <f t="shared" si="2"/>
        <v>55</v>
      </c>
    </row>
    <row r="147" spans="4:5" x14ac:dyDescent="0.3">
      <c r="D147">
        <v>20248</v>
      </c>
      <c r="E147">
        <f t="shared" si="2"/>
        <v>55</v>
      </c>
    </row>
    <row r="148" spans="4:5" x14ac:dyDescent="0.3">
      <c r="D148">
        <v>20254</v>
      </c>
      <c r="E148">
        <f t="shared" si="2"/>
        <v>55</v>
      </c>
    </row>
    <row r="149" spans="4:5" x14ac:dyDescent="0.3">
      <c r="D149">
        <v>20256</v>
      </c>
      <c r="E149">
        <f t="shared" si="2"/>
        <v>55</v>
      </c>
    </row>
    <row r="150" spans="4:5" x14ac:dyDescent="0.3">
      <c r="D150">
        <v>20284</v>
      </c>
      <c r="E150">
        <f t="shared" si="2"/>
        <v>55</v>
      </c>
    </row>
    <row r="151" spans="4:5" x14ac:dyDescent="0.3">
      <c r="D151">
        <v>20296</v>
      </c>
      <c r="E151">
        <f t="shared" si="2"/>
        <v>55</v>
      </c>
    </row>
    <row r="152" spans="4:5" x14ac:dyDescent="0.3">
      <c r="D152">
        <v>20354</v>
      </c>
      <c r="E152">
        <f t="shared" si="2"/>
        <v>55</v>
      </c>
    </row>
    <row r="153" spans="4:5" x14ac:dyDescent="0.3">
      <c r="D153">
        <v>20392</v>
      </c>
      <c r="E153">
        <f t="shared" si="2"/>
        <v>55</v>
      </c>
    </row>
    <row r="154" spans="4:5" x14ac:dyDescent="0.3">
      <c r="D154">
        <v>20440</v>
      </c>
      <c r="E154">
        <f t="shared" si="2"/>
        <v>55</v>
      </c>
    </row>
    <row r="155" spans="4:5" x14ac:dyDescent="0.3">
      <c r="D155">
        <v>20442</v>
      </c>
      <c r="E155">
        <f t="shared" si="2"/>
        <v>55</v>
      </c>
    </row>
    <row r="156" spans="4:5" x14ac:dyDescent="0.3">
      <c r="D156">
        <v>20459</v>
      </c>
      <c r="E156">
        <f t="shared" si="2"/>
        <v>56</v>
      </c>
    </row>
    <row r="157" spans="4:5" x14ac:dyDescent="0.3">
      <c r="D157">
        <v>20535</v>
      </c>
      <c r="E157">
        <f t="shared" si="2"/>
        <v>56</v>
      </c>
    </row>
    <row r="158" spans="4:5" x14ac:dyDescent="0.3">
      <c r="D158">
        <v>20555</v>
      </c>
      <c r="E158">
        <f t="shared" si="2"/>
        <v>56</v>
      </c>
    </row>
    <row r="159" spans="4:5" x14ac:dyDescent="0.3">
      <c r="D159">
        <v>20600</v>
      </c>
      <c r="E159">
        <f t="shared" si="2"/>
        <v>56</v>
      </c>
    </row>
    <row r="160" spans="4:5" x14ac:dyDescent="0.3">
      <c r="D160">
        <v>20604</v>
      </c>
      <c r="E160">
        <f t="shared" si="2"/>
        <v>56</v>
      </c>
    </row>
    <row r="161" spans="4:5" x14ac:dyDescent="0.3">
      <c r="D161">
        <v>20617</v>
      </c>
      <c r="E161">
        <f t="shared" si="2"/>
        <v>56</v>
      </c>
    </row>
    <row r="162" spans="4:5" x14ac:dyDescent="0.3">
      <c r="D162">
        <v>20662</v>
      </c>
      <c r="E162">
        <f t="shared" si="2"/>
        <v>56</v>
      </c>
    </row>
    <row r="163" spans="4:5" x14ac:dyDescent="0.3">
      <c r="D163">
        <v>20684</v>
      </c>
      <c r="E163">
        <f t="shared" si="2"/>
        <v>56</v>
      </c>
    </row>
    <row r="164" spans="4:5" x14ac:dyDescent="0.3">
      <c r="D164">
        <v>20799</v>
      </c>
      <c r="E164">
        <f t="shared" si="2"/>
        <v>56</v>
      </c>
    </row>
    <row r="165" spans="4:5" x14ac:dyDescent="0.3">
      <c r="D165">
        <v>20955</v>
      </c>
      <c r="E165">
        <f t="shared" si="2"/>
        <v>57</v>
      </c>
    </row>
    <row r="166" spans="4:5" x14ac:dyDescent="0.3">
      <c r="D166">
        <v>21324</v>
      </c>
      <c r="E166">
        <f t="shared" si="2"/>
        <v>58</v>
      </c>
    </row>
    <row r="167" spans="4:5" x14ac:dyDescent="0.3">
      <c r="D167">
        <v>21464</v>
      </c>
      <c r="E167">
        <f t="shared" si="2"/>
        <v>58</v>
      </c>
    </row>
    <row r="168" spans="4:5" x14ac:dyDescent="0.3">
      <c r="D168">
        <v>21483</v>
      </c>
      <c r="E168">
        <f t="shared" si="2"/>
        <v>58</v>
      </c>
    </row>
    <row r="169" spans="4:5" x14ac:dyDescent="0.3">
      <c r="D169">
        <v>21600</v>
      </c>
      <c r="E169">
        <f t="shared" si="2"/>
        <v>59</v>
      </c>
    </row>
    <row r="170" spans="4:5" x14ac:dyDescent="0.3">
      <c r="D170">
        <v>21610</v>
      </c>
      <c r="E170">
        <f t="shared" si="2"/>
        <v>59</v>
      </c>
    </row>
    <row r="171" spans="4:5" x14ac:dyDescent="0.3">
      <c r="D171">
        <v>21699</v>
      </c>
      <c r="E171">
        <f t="shared" si="2"/>
        <v>59</v>
      </c>
    </row>
    <row r="172" spans="4:5" x14ac:dyDescent="0.3">
      <c r="D172">
        <v>21898</v>
      </c>
      <c r="E172">
        <f t="shared" si="2"/>
        <v>59</v>
      </c>
    </row>
    <row r="173" spans="4:5" x14ac:dyDescent="0.3">
      <c r="D173">
        <v>22173</v>
      </c>
      <c r="E173">
        <f t="shared" si="2"/>
        <v>60</v>
      </c>
    </row>
    <row r="174" spans="4:5" x14ac:dyDescent="0.3">
      <c r="D174">
        <v>22265</v>
      </c>
      <c r="E174">
        <f t="shared" si="2"/>
        <v>60</v>
      </c>
    </row>
    <row r="175" spans="4:5" x14ac:dyDescent="0.3">
      <c r="D175">
        <v>22306</v>
      </c>
      <c r="E175">
        <f t="shared" si="2"/>
        <v>61</v>
      </c>
    </row>
    <row r="176" spans="4:5" x14ac:dyDescent="0.3">
      <c r="D176">
        <v>22336</v>
      </c>
      <c r="E176">
        <f t="shared" si="2"/>
        <v>61</v>
      </c>
    </row>
    <row r="177" spans="4:5" x14ac:dyDescent="0.3">
      <c r="D177">
        <v>22369</v>
      </c>
      <c r="E177">
        <f t="shared" si="2"/>
        <v>61</v>
      </c>
    </row>
    <row r="178" spans="4:5" x14ac:dyDescent="0.3">
      <c r="D178">
        <v>22388</v>
      </c>
      <c r="E178">
        <f t="shared" si="2"/>
        <v>61</v>
      </c>
    </row>
    <row r="179" spans="4:5" x14ac:dyDescent="0.3">
      <c r="D179">
        <v>22546</v>
      </c>
      <c r="E179">
        <f t="shared" si="2"/>
        <v>61</v>
      </c>
    </row>
    <row r="180" spans="4:5" x14ac:dyDescent="0.3">
      <c r="D180">
        <v>22574</v>
      </c>
      <c r="E180">
        <f t="shared" si="2"/>
        <v>61</v>
      </c>
    </row>
    <row r="181" spans="4:5" x14ac:dyDescent="0.3">
      <c r="D181">
        <v>22642</v>
      </c>
      <c r="E181">
        <f t="shared" si="2"/>
        <v>61</v>
      </c>
    </row>
    <row r="182" spans="4:5" x14ac:dyDescent="0.3">
      <c r="D182">
        <v>22646</v>
      </c>
      <c r="E182">
        <f t="shared" si="2"/>
        <v>61</v>
      </c>
    </row>
    <row r="183" spans="4:5" x14ac:dyDescent="0.3">
      <c r="D183">
        <v>22836</v>
      </c>
      <c r="E183">
        <f t="shared" si="2"/>
        <v>62</v>
      </c>
    </row>
    <row r="184" spans="4:5" x14ac:dyDescent="0.3">
      <c r="D184">
        <v>22873</v>
      </c>
      <c r="E184">
        <f t="shared" si="2"/>
        <v>62</v>
      </c>
    </row>
    <row r="185" spans="4:5" x14ac:dyDescent="0.3">
      <c r="D185">
        <v>22881</v>
      </c>
      <c r="E185">
        <f t="shared" si="2"/>
        <v>62</v>
      </c>
    </row>
    <row r="186" spans="4:5" x14ac:dyDescent="0.3">
      <c r="D186">
        <v>22960</v>
      </c>
      <c r="E186">
        <f t="shared" si="2"/>
        <v>62</v>
      </c>
    </row>
    <row r="187" spans="4:5" x14ac:dyDescent="0.3">
      <c r="D187">
        <v>22977</v>
      </c>
      <c r="E187">
        <f t="shared" si="2"/>
        <v>62</v>
      </c>
    </row>
    <row r="188" spans="4:5" x14ac:dyDescent="0.3">
      <c r="D188">
        <v>23107</v>
      </c>
      <c r="E188">
        <f t="shared" si="2"/>
        <v>63</v>
      </c>
    </row>
    <row r="189" spans="4:5" x14ac:dyDescent="0.3">
      <c r="D189">
        <v>23235</v>
      </c>
      <c r="E189">
        <f t="shared" si="2"/>
        <v>63</v>
      </c>
    </row>
    <row r="190" spans="4:5" x14ac:dyDescent="0.3">
      <c r="D190">
        <v>23241</v>
      </c>
      <c r="E190">
        <f t="shared" si="2"/>
        <v>63</v>
      </c>
    </row>
    <row r="191" spans="4:5" x14ac:dyDescent="0.3">
      <c r="D191">
        <v>23331</v>
      </c>
      <c r="E191">
        <f t="shared" si="2"/>
        <v>63</v>
      </c>
    </row>
    <row r="192" spans="4:5" x14ac:dyDescent="0.3">
      <c r="D192">
        <v>23445</v>
      </c>
      <c r="E192">
        <f t="shared" si="2"/>
        <v>64</v>
      </c>
    </row>
    <row r="193" spans="4:5" x14ac:dyDescent="0.3">
      <c r="D193">
        <v>23612</v>
      </c>
      <c r="E193">
        <f t="shared" si="2"/>
        <v>64</v>
      </c>
    </row>
    <row r="194" spans="4:5" x14ac:dyDescent="0.3">
      <c r="D194">
        <v>24020</v>
      </c>
      <c r="E194">
        <f t="shared" si="2"/>
        <v>65</v>
      </c>
    </row>
    <row r="195" spans="4:5" x14ac:dyDescent="0.3">
      <c r="D195">
        <v>24201</v>
      </c>
      <c r="E195">
        <f t="shared" si="2"/>
        <v>66</v>
      </c>
    </row>
    <row r="196" spans="4:5" x14ac:dyDescent="0.3">
      <c r="D196">
        <v>24585</v>
      </c>
      <c r="E196">
        <f t="shared" ref="E196:E211" si="3">DATEDIF(0,D196,"Y")</f>
        <v>67</v>
      </c>
    </row>
    <row r="197" spans="4:5" x14ac:dyDescent="0.3">
      <c r="D197">
        <v>24621</v>
      </c>
      <c r="E197">
        <f t="shared" si="3"/>
        <v>67</v>
      </c>
    </row>
    <row r="198" spans="4:5" x14ac:dyDescent="0.3">
      <c r="D198">
        <v>24622</v>
      </c>
      <c r="E198">
        <f t="shared" si="3"/>
        <v>67</v>
      </c>
    </row>
    <row r="199" spans="4:5" x14ac:dyDescent="0.3">
      <c r="D199">
        <v>24803</v>
      </c>
      <c r="E199">
        <f t="shared" si="3"/>
        <v>67</v>
      </c>
    </row>
    <row r="200" spans="4:5" x14ac:dyDescent="0.3">
      <c r="D200">
        <v>25023</v>
      </c>
      <c r="E200">
        <f t="shared" si="3"/>
        <v>68</v>
      </c>
    </row>
    <row r="201" spans="4:5" x14ac:dyDescent="0.3">
      <c r="D201">
        <v>25329</v>
      </c>
      <c r="E201">
        <f t="shared" si="3"/>
        <v>69</v>
      </c>
    </row>
    <row r="202" spans="4:5" x14ac:dyDescent="0.3">
      <c r="D202">
        <v>25340</v>
      </c>
      <c r="E202">
        <f t="shared" si="3"/>
        <v>69</v>
      </c>
    </row>
    <row r="203" spans="4:5" x14ac:dyDescent="0.3">
      <c r="D203">
        <v>25546</v>
      </c>
      <c r="E203">
        <f t="shared" si="3"/>
        <v>69</v>
      </c>
    </row>
    <row r="204" spans="4:5" x14ac:dyDescent="0.3">
      <c r="D204">
        <v>25569</v>
      </c>
      <c r="E204">
        <f t="shared" si="3"/>
        <v>70</v>
      </c>
    </row>
    <row r="205" spans="4:5" x14ac:dyDescent="0.3">
      <c r="D205">
        <v>25594</v>
      </c>
      <c r="E205">
        <f t="shared" si="3"/>
        <v>70</v>
      </c>
    </row>
    <row r="206" spans="4:5" x14ac:dyDescent="0.3">
      <c r="D206">
        <v>25772</v>
      </c>
      <c r="E206">
        <f t="shared" si="3"/>
        <v>70</v>
      </c>
    </row>
    <row r="207" spans="4:5" x14ac:dyDescent="0.3">
      <c r="D207">
        <v>25873</v>
      </c>
      <c r="E207">
        <f t="shared" si="3"/>
        <v>70</v>
      </c>
    </row>
    <row r="208" spans="4:5" x14ac:dyDescent="0.3">
      <c r="D208">
        <v>26259</v>
      </c>
      <c r="E208">
        <f t="shared" si="3"/>
        <v>71</v>
      </c>
    </row>
    <row r="209" spans="4:8" x14ac:dyDescent="0.3">
      <c r="D209">
        <v>26580</v>
      </c>
      <c r="E209">
        <f t="shared" si="3"/>
        <v>72</v>
      </c>
    </row>
    <row r="210" spans="4:8" x14ac:dyDescent="0.3">
      <c r="D210">
        <v>27398</v>
      </c>
      <c r="E210">
        <f t="shared" si="3"/>
        <v>75</v>
      </c>
    </row>
    <row r="211" spans="4:8" x14ac:dyDescent="0.3">
      <c r="D211">
        <v>28018</v>
      </c>
      <c r="E211">
        <f t="shared" si="3"/>
        <v>76</v>
      </c>
    </row>
    <row r="213" spans="4:8" x14ac:dyDescent="0.3">
      <c r="D213" t="s">
        <v>47</v>
      </c>
      <c r="E213" s="3">
        <f>AVERAGE(E$3:E$211)</f>
        <v>50.148325358851672</v>
      </c>
      <c r="G213" s="26"/>
      <c r="H213" s="26"/>
    </row>
    <row r="215" spans="4:8" ht="15.6" x14ac:dyDescent="0.3">
      <c r="D215" t="s">
        <v>48</v>
      </c>
      <c r="E215" s="4">
        <f>STDEV(E$3:E$211)</f>
        <v>9.9692801978309067</v>
      </c>
    </row>
    <row r="218" spans="4:8" x14ac:dyDescent="0.3">
      <c r="D218" t="s">
        <v>49</v>
      </c>
      <c r="E218">
        <f>MIN(E$3:E$211)</f>
        <v>28</v>
      </c>
    </row>
    <row r="220" spans="4:8" x14ac:dyDescent="0.3">
      <c r="D220" t="s">
        <v>50</v>
      </c>
      <c r="E220" s="3">
        <f>QUARTILE(E$3:E$211,1)</f>
        <v>43</v>
      </c>
    </row>
    <row r="222" spans="4:8" x14ac:dyDescent="0.3">
      <c r="D222" t="s">
        <v>51</v>
      </c>
      <c r="E222" s="3">
        <f>MEDIAN(E$3:E$211)</f>
        <v>50</v>
      </c>
    </row>
    <row r="224" spans="4:8" x14ac:dyDescent="0.3">
      <c r="D224" t="s">
        <v>52</v>
      </c>
      <c r="E224">
        <f>QUARTILE(E$3:E$211,3)</f>
        <v>56</v>
      </c>
    </row>
    <row r="226" spans="4:5" x14ac:dyDescent="0.3">
      <c r="D226" t="s">
        <v>53</v>
      </c>
      <c r="E226">
        <f>MAX(E$3:E$211)</f>
        <v>76</v>
      </c>
    </row>
    <row r="228" spans="4:5" x14ac:dyDescent="0.3">
      <c r="D228" t="s">
        <v>54</v>
      </c>
      <c r="E228">
        <f>E226-E218</f>
        <v>48</v>
      </c>
    </row>
    <row r="230" spans="4:5" x14ac:dyDescent="0.3">
      <c r="D230" t="s">
        <v>55</v>
      </c>
      <c r="E230">
        <f>E220-E224</f>
        <v>-13</v>
      </c>
    </row>
    <row r="232" spans="4:5" x14ac:dyDescent="0.3">
      <c r="D232" t="s">
        <v>56</v>
      </c>
      <c r="E232">
        <f>MODE(E$3:E$211)</f>
        <v>52</v>
      </c>
    </row>
  </sheetData>
  <sortState xmlns:xlrd2="http://schemas.microsoft.com/office/spreadsheetml/2017/richdata2" ref="D3:D211">
    <sortCondition ref="D3:D211"/>
  </sortState>
  <phoneticPr fontId="21" type="noConversion"/>
  <conditionalFormatting sqref="H12:H14 H8:H10">
    <cfRule type="uniqueValues" dxfId="0" priority="1"/>
  </conditionalFormatting>
  <pageMargins left="0.7" right="0.7" top="0.75" bottom="0.75" header="0.3" footer="0.3"/>
  <pageSetup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ECE95-DFE8-49BB-A376-6B97D8488E44}">
  <dimension ref="C1:I232"/>
  <sheetViews>
    <sheetView topLeftCell="A22" workbookViewId="0">
      <selection activeCell="C213" sqref="C213:D232"/>
    </sheetView>
  </sheetViews>
  <sheetFormatPr defaultRowHeight="14.4" x14ac:dyDescent="0.3"/>
  <cols>
    <col min="8" max="8" width="17.33203125" customWidth="1"/>
  </cols>
  <sheetData>
    <row r="1" spans="3:9" x14ac:dyDescent="0.3">
      <c r="C1">
        <v>5</v>
      </c>
    </row>
    <row r="2" spans="3:9" x14ac:dyDescent="0.3">
      <c r="C2" t="s">
        <v>4</v>
      </c>
      <c r="H2" t="s">
        <v>58</v>
      </c>
      <c r="I2" t="s">
        <v>100</v>
      </c>
    </row>
    <row r="3" spans="3:9" x14ac:dyDescent="0.3">
      <c r="C3" t="s">
        <v>20</v>
      </c>
      <c r="D3">
        <v>1</v>
      </c>
      <c r="H3" t="s">
        <v>60</v>
      </c>
      <c r="I3" t="s">
        <v>61</v>
      </c>
    </row>
    <row r="4" spans="3:9" x14ac:dyDescent="0.3">
      <c r="C4" t="s">
        <v>20</v>
      </c>
      <c r="D4">
        <v>1</v>
      </c>
    </row>
    <row r="5" spans="3:9" x14ac:dyDescent="0.3">
      <c r="C5" t="s">
        <v>20</v>
      </c>
      <c r="D5">
        <v>1</v>
      </c>
      <c r="H5" t="s">
        <v>92</v>
      </c>
    </row>
    <row r="6" spans="3:9" x14ac:dyDescent="0.3">
      <c r="C6" t="s">
        <v>20</v>
      </c>
      <c r="D6">
        <v>1</v>
      </c>
      <c r="H6" t="s">
        <v>93</v>
      </c>
      <c r="I6" t="s">
        <v>63</v>
      </c>
    </row>
    <row r="7" spans="3:9" x14ac:dyDescent="0.3">
      <c r="C7" t="s">
        <v>20</v>
      </c>
      <c r="D7">
        <v>1</v>
      </c>
      <c r="H7" t="s">
        <v>101</v>
      </c>
      <c r="I7">
        <f>COUNT(D3:D183)</f>
        <v>181</v>
      </c>
    </row>
    <row r="8" spans="3:9" x14ac:dyDescent="0.3">
      <c r="C8" t="s">
        <v>20</v>
      </c>
      <c r="D8">
        <v>1</v>
      </c>
      <c r="H8" t="s">
        <v>102</v>
      </c>
      <c r="I8">
        <f>COUNT(D184:D211)</f>
        <v>28</v>
      </c>
    </row>
    <row r="9" spans="3:9" x14ac:dyDescent="0.3">
      <c r="C9" t="s">
        <v>20</v>
      </c>
      <c r="D9">
        <v>1</v>
      </c>
    </row>
    <row r="10" spans="3:9" x14ac:dyDescent="0.3">
      <c r="C10" t="s">
        <v>20</v>
      </c>
      <c r="D10">
        <v>1</v>
      </c>
    </row>
    <row r="11" spans="3:9" x14ac:dyDescent="0.3">
      <c r="C11" t="s">
        <v>20</v>
      </c>
      <c r="D11">
        <v>1</v>
      </c>
    </row>
    <row r="12" spans="3:9" x14ac:dyDescent="0.3">
      <c r="C12" t="s">
        <v>20</v>
      </c>
      <c r="D12">
        <v>1</v>
      </c>
    </row>
    <row r="13" spans="3:9" x14ac:dyDescent="0.3">
      <c r="C13" t="s">
        <v>20</v>
      </c>
      <c r="D13">
        <v>1</v>
      </c>
    </row>
    <row r="14" spans="3:9" x14ac:dyDescent="0.3">
      <c r="C14" t="s">
        <v>20</v>
      </c>
      <c r="D14">
        <v>1</v>
      </c>
    </row>
    <row r="15" spans="3:9" x14ac:dyDescent="0.3">
      <c r="C15" t="s">
        <v>20</v>
      </c>
      <c r="D15">
        <v>1</v>
      </c>
    </row>
    <row r="16" spans="3:9" x14ac:dyDescent="0.3">
      <c r="C16" t="s">
        <v>20</v>
      </c>
      <c r="D16">
        <v>1</v>
      </c>
    </row>
    <row r="17" spans="3:4" x14ac:dyDescent="0.3">
      <c r="C17" t="s">
        <v>20</v>
      </c>
      <c r="D17">
        <v>1</v>
      </c>
    </row>
    <row r="18" spans="3:4" x14ac:dyDescent="0.3">
      <c r="C18" t="s">
        <v>20</v>
      </c>
      <c r="D18">
        <v>1</v>
      </c>
    </row>
    <row r="19" spans="3:4" x14ac:dyDescent="0.3">
      <c r="C19" t="s">
        <v>20</v>
      </c>
      <c r="D19">
        <v>1</v>
      </c>
    </row>
    <row r="20" spans="3:4" x14ac:dyDescent="0.3">
      <c r="C20" t="s">
        <v>20</v>
      </c>
      <c r="D20">
        <v>1</v>
      </c>
    </row>
    <row r="21" spans="3:4" x14ac:dyDescent="0.3">
      <c r="C21" t="s">
        <v>20</v>
      </c>
      <c r="D21">
        <v>1</v>
      </c>
    </row>
    <row r="22" spans="3:4" x14ac:dyDescent="0.3">
      <c r="C22" t="s">
        <v>20</v>
      </c>
      <c r="D22">
        <v>1</v>
      </c>
    </row>
    <row r="23" spans="3:4" x14ac:dyDescent="0.3">
      <c r="C23" t="s">
        <v>20</v>
      </c>
      <c r="D23">
        <v>1</v>
      </c>
    </row>
    <row r="24" spans="3:4" x14ac:dyDescent="0.3">
      <c r="C24" t="s">
        <v>20</v>
      </c>
      <c r="D24">
        <v>1</v>
      </c>
    </row>
    <row r="25" spans="3:4" x14ac:dyDescent="0.3">
      <c r="C25" t="s">
        <v>20</v>
      </c>
      <c r="D25">
        <v>1</v>
      </c>
    </row>
    <row r="26" spans="3:4" x14ac:dyDescent="0.3">
      <c r="C26" t="s">
        <v>20</v>
      </c>
      <c r="D26">
        <v>1</v>
      </c>
    </row>
    <row r="27" spans="3:4" x14ac:dyDescent="0.3">
      <c r="C27" t="s">
        <v>20</v>
      </c>
      <c r="D27">
        <v>1</v>
      </c>
    </row>
    <row r="28" spans="3:4" x14ac:dyDescent="0.3">
      <c r="C28" t="s">
        <v>20</v>
      </c>
      <c r="D28">
        <v>1</v>
      </c>
    </row>
    <row r="29" spans="3:4" x14ac:dyDescent="0.3">
      <c r="C29" t="s">
        <v>20</v>
      </c>
      <c r="D29">
        <v>1</v>
      </c>
    </row>
    <row r="30" spans="3:4" x14ac:dyDescent="0.3">
      <c r="C30" t="s">
        <v>20</v>
      </c>
      <c r="D30">
        <v>1</v>
      </c>
    </row>
    <row r="31" spans="3:4" x14ac:dyDescent="0.3">
      <c r="C31" t="s">
        <v>20</v>
      </c>
      <c r="D31">
        <v>1</v>
      </c>
    </row>
    <row r="32" spans="3:4" x14ac:dyDescent="0.3">
      <c r="C32" t="s">
        <v>20</v>
      </c>
      <c r="D32">
        <v>1</v>
      </c>
    </row>
    <row r="33" spans="3:4" x14ac:dyDescent="0.3">
      <c r="C33" t="s">
        <v>20</v>
      </c>
      <c r="D33">
        <v>1</v>
      </c>
    </row>
    <row r="34" spans="3:4" x14ac:dyDescent="0.3">
      <c r="C34" t="s">
        <v>20</v>
      </c>
      <c r="D34">
        <v>1</v>
      </c>
    </row>
    <row r="35" spans="3:4" x14ac:dyDescent="0.3">
      <c r="C35" t="s">
        <v>20</v>
      </c>
      <c r="D35">
        <v>1</v>
      </c>
    </row>
    <row r="36" spans="3:4" x14ac:dyDescent="0.3">
      <c r="C36" t="s">
        <v>20</v>
      </c>
      <c r="D36">
        <v>1</v>
      </c>
    </row>
    <row r="37" spans="3:4" x14ac:dyDescent="0.3">
      <c r="C37" t="s">
        <v>20</v>
      </c>
      <c r="D37">
        <v>1</v>
      </c>
    </row>
    <row r="38" spans="3:4" x14ac:dyDescent="0.3">
      <c r="C38" t="s">
        <v>20</v>
      </c>
      <c r="D38">
        <v>1</v>
      </c>
    </row>
    <row r="39" spans="3:4" x14ac:dyDescent="0.3">
      <c r="C39" t="s">
        <v>20</v>
      </c>
      <c r="D39">
        <v>1</v>
      </c>
    </row>
    <row r="40" spans="3:4" x14ac:dyDescent="0.3">
      <c r="C40" t="s">
        <v>20</v>
      </c>
      <c r="D40">
        <v>1</v>
      </c>
    </row>
    <row r="41" spans="3:4" x14ac:dyDescent="0.3">
      <c r="C41" t="s">
        <v>20</v>
      </c>
      <c r="D41">
        <v>1</v>
      </c>
    </row>
    <row r="42" spans="3:4" x14ac:dyDescent="0.3">
      <c r="C42" t="s">
        <v>20</v>
      </c>
      <c r="D42">
        <v>1</v>
      </c>
    </row>
    <row r="43" spans="3:4" x14ac:dyDescent="0.3">
      <c r="C43" t="s">
        <v>20</v>
      </c>
      <c r="D43">
        <v>1</v>
      </c>
    </row>
    <row r="44" spans="3:4" x14ac:dyDescent="0.3">
      <c r="C44" t="s">
        <v>20</v>
      </c>
      <c r="D44">
        <v>1</v>
      </c>
    </row>
    <row r="45" spans="3:4" x14ac:dyDescent="0.3">
      <c r="C45" t="s">
        <v>20</v>
      </c>
      <c r="D45">
        <v>1</v>
      </c>
    </row>
    <row r="46" spans="3:4" x14ac:dyDescent="0.3">
      <c r="C46" t="s">
        <v>20</v>
      </c>
      <c r="D46">
        <v>1</v>
      </c>
    </row>
    <row r="47" spans="3:4" x14ac:dyDescent="0.3">
      <c r="C47" t="s">
        <v>20</v>
      </c>
      <c r="D47">
        <v>1</v>
      </c>
    </row>
    <row r="48" spans="3:4" x14ac:dyDescent="0.3">
      <c r="C48" t="s">
        <v>20</v>
      </c>
      <c r="D48">
        <v>1</v>
      </c>
    </row>
    <row r="49" spans="3:4" x14ac:dyDescent="0.3">
      <c r="C49" t="s">
        <v>20</v>
      </c>
      <c r="D49">
        <v>1</v>
      </c>
    </row>
    <row r="50" spans="3:4" x14ac:dyDescent="0.3">
      <c r="C50" t="s">
        <v>20</v>
      </c>
      <c r="D50">
        <v>1</v>
      </c>
    </row>
    <row r="51" spans="3:4" x14ac:dyDescent="0.3">
      <c r="C51" t="s">
        <v>20</v>
      </c>
      <c r="D51">
        <v>1</v>
      </c>
    </row>
    <row r="52" spans="3:4" x14ac:dyDescent="0.3">
      <c r="C52" t="s">
        <v>20</v>
      </c>
      <c r="D52">
        <v>1</v>
      </c>
    </row>
    <row r="53" spans="3:4" x14ac:dyDescent="0.3">
      <c r="C53" t="s">
        <v>20</v>
      </c>
      <c r="D53">
        <v>1</v>
      </c>
    </row>
    <row r="54" spans="3:4" x14ac:dyDescent="0.3">
      <c r="C54" t="s">
        <v>20</v>
      </c>
      <c r="D54">
        <v>1</v>
      </c>
    </row>
    <row r="55" spans="3:4" x14ac:dyDescent="0.3">
      <c r="C55" t="s">
        <v>20</v>
      </c>
      <c r="D55">
        <v>1</v>
      </c>
    </row>
    <row r="56" spans="3:4" x14ac:dyDescent="0.3">
      <c r="C56" t="s">
        <v>20</v>
      </c>
      <c r="D56">
        <v>1</v>
      </c>
    </row>
    <row r="57" spans="3:4" x14ac:dyDescent="0.3">
      <c r="C57" t="s">
        <v>20</v>
      </c>
      <c r="D57">
        <v>1</v>
      </c>
    </row>
    <row r="58" spans="3:4" x14ac:dyDescent="0.3">
      <c r="C58" t="s">
        <v>20</v>
      </c>
      <c r="D58">
        <v>1</v>
      </c>
    </row>
    <row r="59" spans="3:4" x14ac:dyDescent="0.3">
      <c r="C59" t="s">
        <v>20</v>
      </c>
      <c r="D59">
        <v>1</v>
      </c>
    </row>
    <row r="60" spans="3:4" x14ac:dyDescent="0.3">
      <c r="C60" t="s">
        <v>20</v>
      </c>
      <c r="D60">
        <v>1</v>
      </c>
    </row>
    <row r="61" spans="3:4" x14ac:dyDescent="0.3">
      <c r="C61" t="s">
        <v>20</v>
      </c>
      <c r="D61">
        <v>1</v>
      </c>
    </row>
    <row r="62" spans="3:4" x14ac:dyDescent="0.3">
      <c r="C62" t="s">
        <v>20</v>
      </c>
      <c r="D62">
        <v>1</v>
      </c>
    </row>
    <row r="63" spans="3:4" x14ac:dyDescent="0.3">
      <c r="C63" t="s">
        <v>20</v>
      </c>
      <c r="D63">
        <v>1</v>
      </c>
    </row>
    <row r="64" spans="3:4" x14ac:dyDescent="0.3">
      <c r="C64" t="s">
        <v>20</v>
      </c>
      <c r="D64">
        <v>1</v>
      </c>
    </row>
    <row r="65" spans="3:4" x14ac:dyDescent="0.3">
      <c r="C65" t="s">
        <v>20</v>
      </c>
      <c r="D65">
        <v>1</v>
      </c>
    </row>
    <row r="66" spans="3:4" x14ac:dyDescent="0.3">
      <c r="C66" t="s">
        <v>20</v>
      </c>
      <c r="D66">
        <v>1</v>
      </c>
    </row>
    <row r="67" spans="3:4" x14ac:dyDescent="0.3">
      <c r="C67" t="s">
        <v>20</v>
      </c>
      <c r="D67">
        <v>1</v>
      </c>
    </row>
    <row r="68" spans="3:4" x14ac:dyDescent="0.3">
      <c r="C68" t="s">
        <v>20</v>
      </c>
      <c r="D68">
        <v>1</v>
      </c>
    </row>
    <row r="69" spans="3:4" x14ac:dyDescent="0.3">
      <c r="C69" t="s">
        <v>20</v>
      </c>
      <c r="D69">
        <v>1</v>
      </c>
    </row>
    <row r="70" spans="3:4" x14ac:dyDescent="0.3">
      <c r="C70" t="s">
        <v>20</v>
      </c>
      <c r="D70">
        <v>1</v>
      </c>
    </row>
    <row r="71" spans="3:4" x14ac:dyDescent="0.3">
      <c r="C71" t="s">
        <v>20</v>
      </c>
      <c r="D71">
        <v>1</v>
      </c>
    </row>
    <row r="72" spans="3:4" x14ac:dyDescent="0.3">
      <c r="C72" t="s">
        <v>20</v>
      </c>
      <c r="D72">
        <v>1</v>
      </c>
    </row>
    <row r="73" spans="3:4" x14ac:dyDescent="0.3">
      <c r="C73" t="s">
        <v>20</v>
      </c>
      <c r="D73">
        <v>1</v>
      </c>
    </row>
    <row r="74" spans="3:4" x14ac:dyDescent="0.3">
      <c r="C74" t="s">
        <v>20</v>
      </c>
      <c r="D74">
        <v>1</v>
      </c>
    </row>
    <row r="75" spans="3:4" x14ac:dyDescent="0.3">
      <c r="C75" t="s">
        <v>20</v>
      </c>
      <c r="D75">
        <v>1</v>
      </c>
    </row>
    <row r="76" spans="3:4" x14ac:dyDescent="0.3">
      <c r="C76" t="s">
        <v>20</v>
      </c>
      <c r="D76">
        <v>1</v>
      </c>
    </row>
    <row r="77" spans="3:4" x14ac:dyDescent="0.3">
      <c r="C77" t="s">
        <v>20</v>
      </c>
      <c r="D77">
        <v>1</v>
      </c>
    </row>
    <row r="78" spans="3:4" x14ac:dyDescent="0.3">
      <c r="C78" t="s">
        <v>20</v>
      </c>
      <c r="D78">
        <v>1</v>
      </c>
    </row>
    <row r="79" spans="3:4" x14ac:dyDescent="0.3">
      <c r="C79" t="s">
        <v>20</v>
      </c>
      <c r="D79">
        <v>1</v>
      </c>
    </row>
    <row r="80" spans="3:4" x14ac:dyDescent="0.3">
      <c r="C80" t="s">
        <v>20</v>
      </c>
      <c r="D80">
        <v>1</v>
      </c>
    </row>
    <row r="81" spans="3:4" x14ac:dyDescent="0.3">
      <c r="C81" t="s">
        <v>20</v>
      </c>
      <c r="D81">
        <v>1</v>
      </c>
    </row>
    <row r="82" spans="3:4" x14ac:dyDescent="0.3">
      <c r="C82" t="s">
        <v>20</v>
      </c>
      <c r="D82">
        <v>1</v>
      </c>
    </row>
    <row r="83" spans="3:4" x14ac:dyDescent="0.3">
      <c r="C83" t="s">
        <v>20</v>
      </c>
      <c r="D83">
        <v>1</v>
      </c>
    </row>
    <row r="84" spans="3:4" x14ac:dyDescent="0.3">
      <c r="C84" t="s">
        <v>20</v>
      </c>
      <c r="D84">
        <v>1</v>
      </c>
    </row>
    <row r="85" spans="3:4" x14ac:dyDescent="0.3">
      <c r="C85" t="s">
        <v>20</v>
      </c>
      <c r="D85">
        <v>1</v>
      </c>
    </row>
    <row r="86" spans="3:4" x14ac:dyDescent="0.3">
      <c r="C86" t="s">
        <v>20</v>
      </c>
      <c r="D86">
        <v>1</v>
      </c>
    </row>
    <row r="87" spans="3:4" x14ac:dyDescent="0.3">
      <c r="C87" t="s">
        <v>20</v>
      </c>
      <c r="D87">
        <v>1</v>
      </c>
    </row>
    <row r="88" spans="3:4" x14ac:dyDescent="0.3">
      <c r="C88" t="s">
        <v>20</v>
      </c>
      <c r="D88">
        <v>1</v>
      </c>
    </row>
    <row r="89" spans="3:4" x14ac:dyDescent="0.3">
      <c r="C89" t="s">
        <v>20</v>
      </c>
      <c r="D89">
        <v>1</v>
      </c>
    </row>
    <row r="90" spans="3:4" x14ac:dyDescent="0.3">
      <c r="C90" t="s">
        <v>20</v>
      </c>
      <c r="D90">
        <v>1</v>
      </c>
    </row>
    <row r="91" spans="3:4" x14ac:dyDescent="0.3">
      <c r="C91" t="s">
        <v>20</v>
      </c>
      <c r="D91">
        <v>1</v>
      </c>
    </row>
    <row r="92" spans="3:4" x14ac:dyDescent="0.3">
      <c r="C92" t="s">
        <v>20</v>
      </c>
      <c r="D92">
        <v>1</v>
      </c>
    </row>
    <row r="93" spans="3:4" x14ac:dyDescent="0.3">
      <c r="C93" t="s">
        <v>20</v>
      </c>
      <c r="D93">
        <v>1</v>
      </c>
    </row>
    <row r="94" spans="3:4" x14ac:dyDescent="0.3">
      <c r="C94" t="s">
        <v>20</v>
      </c>
      <c r="D94">
        <v>1</v>
      </c>
    </row>
    <row r="95" spans="3:4" x14ac:dyDescent="0.3">
      <c r="C95" t="s">
        <v>20</v>
      </c>
      <c r="D95">
        <v>1</v>
      </c>
    </row>
    <row r="96" spans="3:4" x14ac:dyDescent="0.3">
      <c r="C96" t="s">
        <v>20</v>
      </c>
      <c r="D96">
        <v>1</v>
      </c>
    </row>
    <row r="97" spans="3:4" x14ac:dyDescent="0.3">
      <c r="C97" t="s">
        <v>20</v>
      </c>
      <c r="D97">
        <v>1</v>
      </c>
    </row>
    <row r="98" spans="3:4" x14ac:dyDescent="0.3">
      <c r="C98" t="s">
        <v>20</v>
      </c>
      <c r="D98">
        <v>1</v>
      </c>
    </row>
    <row r="99" spans="3:4" x14ac:dyDescent="0.3">
      <c r="C99" t="s">
        <v>20</v>
      </c>
      <c r="D99">
        <v>1</v>
      </c>
    </row>
    <row r="100" spans="3:4" x14ac:dyDescent="0.3">
      <c r="C100" t="s">
        <v>20</v>
      </c>
      <c r="D100">
        <v>1</v>
      </c>
    </row>
    <row r="101" spans="3:4" x14ac:dyDescent="0.3">
      <c r="C101" t="s">
        <v>20</v>
      </c>
      <c r="D101">
        <v>1</v>
      </c>
    </row>
    <row r="102" spans="3:4" x14ac:dyDescent="0.3">
      <c r="C102" t="s">
        <v>20</v>
      </c>
      <c r="D102">
        <v>1</v>
      </c>
    </row>
    <row r="103" spans="3:4" x14ac:dyDescent="0.3">
      <c r="C103" t="s">
        <v>20</v>
      </c>
      <c r="D103">
        <v>1</v>
      </c>
    </row>
    <row r="104" spans="3:4" x14ac:dyDescent="0.3">
      <c r="C104" t="s">
        <v>20</v>
      </c>
      <c r="D104">
        <v>1</v>
      </c>
    </row>
    <row r="105" spans="3:4" x14ac:dyDescent="0.3">
      <c r="C105" t="s">
        <v>20</v>
      </c>
      <c r="D105">
        <v>1</v>
      </c>
    </row>
    <row r="106" spans="3:4" x14ac:dyDescent="0.3">
      <c r="C106" t="s">
        <v>20</v>
      </c>
      <c r="D106">
        <v>1</v>
      </c>
    </row>
    <row r="107" spans="3:4" x14ac:dyDescent="0.3">
      <c r="C107" t="s">
        <v>20</v>
      </c>
      <c r="D107">
        <v>1</v>
      </c>
    </row>
    <row r="108" spans="3:4" x14ac:dyDescent="0.3">
      <c r="C108" t="s">
        <v>20</v>
      </c>
      <c r="D108">
        <v>1</v>
      </c>
    </row>
    <row r="109" spans="3:4" x14ac:dyDescent="0.3">
      <c r="C109" t="s">
        <v>20</v>
      </c>
      <c r="D109">
        <v>1</v>
      </c>
    </row>
    <row r="110" spans="3:4" x14ac:dyDescent="0.3">
      <c r="C110" t="s">
        <v>20</v>
      </c>
      <c r="D110">
        <v>1</v>
      </c>
    </row>
    <row r="111" spans="3:4" x14ac:dyDescent="0.3">
      <c r="C111" t="s">
        <v>20</v>
      </c>
      <c r="D111">
        <v>1</v>
      </c>
    </row>
    <row r="112" spans="3:4" x14ac:dyDescent="0.3">
      <c r="C112" t="s">
        <v>20</v>
      </c>
      <c r="D112">
        <v>1</v>
      </c>
    </row>
    <row r="113" spans="3:4" x14ac:dyDescent="0.3">
      <c r="C113" t="s">
        <v>20</v>
      </c>
      <c r="D113">
        <v>1</v>
      </c>
    </row>
    <row r="114" spans="3:4" x14ac:dyDescent="0.3">
      <c r="C114" t="s">
        <v>20</v>
      </c>
      <c r="D114">
        <v>1</v>
      </c>
    </row>
    <row r="115" spans="3:4" x14ac:dyDescent="0.3">
      <c r="C115" t="s">
        <v>20</v>
      </c>
      <c r="D115">
        <v>1</v>
      </c>
    </row>
    <row r="116" spans="3:4" x14ac:dyDescent="0.3">
      <c r="C116" t="s">
        <v>20</v>
      </c>
      <c r="D116">
        <v>1</v>
      </c>
    </row>
    <row r="117" spans="3:4" x14ac:dyDescent="0.3">
      <c r="C117" t="s">
        <v>20</v>
      </c>
      <c r="D117">
        <v>1</v>
      </c>
    </row>
    <row r="118" spans="3:4" x14ac:dyDescent="0.3">
      <c r="C118" t="s">
        <v>20</v>
      </c>
      <c r="D118">
        <v>1</v>
      </c>
    </row>
    <row r="119" spans="3:4" x14ac:dyDescent="0.3">
      <c r="C119" t="s">
        <v>20</v>
      </c>
      <c r="D119">
        <v>1</v>
      </c>
    </row>
    <row r="120" spans="3:4" x14ac:dyDescent="0.3">
      <c r="C120" t="s">
        <v>20</v>
      </c>
      <c r="D120">
        <v>1</v>
      </c>
    </row>
    <row r="121" spans="3:4" x14ac:dyDescent="0.3">
      <c r="C121" t="s">
        <v>20</v>
      </c>
      <c r="D121">
        <v>1</v>
      </c>
    </row>
    <row r="122" spans="3:4" x14ac:dyDescent="0.3">
      <c r="C122" t="s">
        <v>20</v>
      </c>
      <c r="D122">
        <v>1</v>
      </c>
    </row>
    <row r="123" spans="3:4" x14ac:dyDescent="0.3">
      <c r="C123" t="s">
        <v>20</v>
      </c>
      <c r="D123">
        <v>1</v>
      </c>
    </row>
    <row r="124" spans="3:4" x14ac:dyDescent="0.3">
      <c r="C124" t="s">
        <v>20</v>
      </c>
      <c r="D124">
        <v>1</v>
      </c>
    </row>
    <row r="125" spans="3:4" x14ac:dyDescent="0.3">
      <c r="C125" t="s">
        <v>20</v>
      </c>
      <c r="D125">
        <v>1</v>
      </c>
    </row>
    <row r="126" spans="3:4" x14ac:dyDescent="0.3">
      <c r="C126" t="s">
        <v>20</v>
      </c>
      <c r="D126">
        <v>1</v>
      </c>
    </row>
    <row r="127" spans="3:4" x14ac:dyDescent="0.3">
      <c r="C127" t="s">
        <v>20</v>
      </c>
      <c r="D127">
        <v>1</v>
      </c>
    </row>
    <row r="128" spans="3:4" x14ac:dyDescent="0.3">
      <c r="C128" t="s">
        <v>20</v>
      </c>
      <c r="D128">
        <v>1</v>
      </c>
    </row>
    <row r="129" spans="3:4" x14ac:dyDescent="0.3">
      <c r="C129" t="s">
        <v>20</v>
      </c>
      <c r="D129">
        <v>1</v>
      </c>
    </row>
    <row r="130" spans="3:4" x14ac:dyDescent="0.3">
      <c r="C130" t="s">
        <v>20</v>
      </c>
      <c r="D130">
        <v>1</v>
      </c>
    </row>
    <row r="131" spans="3:4" x14ac:dyDescent="0.3">
      <c r="C131" t="s">
        <v>20</v>
      </c>
      <c r="D131">
        <v>1</v>
      </c>
    </row>
    <row r="132" spans="3:4" x14ac:dyDescent="0.3">
      <c r="C132" t="s">
        <v>20</v>
      </c>
      <c r="D132">
        <v>1</v>
      </c>
    </row>
    <row r="133" spans="3:4" x14ac:dyDescent="0.3">
      <c r="C133" t="s">
        <v>20</v>
      </c>
      <c r="D133">
        <v>1</v>
      </c>
    </row>
    <row r="134" spans="3:4" x14ac:dyDescent="0.3">
      <c r="C134" t="s">
        <v>20</v>
      </c>
      <c r="D134">
        <v>1</v>
      </c>
    </row>
    <row r="135" spans="3:4" x14ac:dyDescent="0.3">
      <c r="C135" t="s">
        <v>20</v>
      </c>
      <c r="D135">
        <v>1</v>
      </c>
    </row>
    <row r="136" spans="3:4" x14ac:dyDescent="0.3">
      <c r="C136" t="s">
        <v>20</v>
      </c>
      <c r="D136">
        <v>1</v>
      </c>
    </row>
    <row r="137" spans="3:4" x14ac:dyDescent="0.3">
      <c r="C137" t="s">
        <v>20</v>
      </c>
      <c r="D137">
        <v>1</v>
      </c>
    </row>
    <row r="138" spans="3:4" x14ac:dyDescent="0.3">
      <c r="C138" t="s">
        <v>20</v>
      </c>
      <c r="D138">
        <v>1</v>
      </c>
    </row>
    <row r="139" spans="3:4" x14ac:dyDescent="0.3">
      <c r="C139" t="s">
        <v>20</v>
      </c>
      <c r="D139">
        <v>1</v>
      </c>
    </row>
    <row r="140" spans="3:4" x14ac:dyDescent="0.3">
      <c r="C140" t="s">
        <v>20</v>
      </c>
      <c r="D140">
        <v>1</v>
      </c>
    </row>
    <row r="141" spans="3:4" x14ac:dyDescent="0.3">
      <c r="C141" t="s">
        <v>20</v>
      </c>
      <c r="D141">
        <v>1</v>
      </c>
    </row>
    <row r="142" spans="3:4" x14ac:dyDescent="0.3">
      <c r="C142" t="s">
        <v>20</v>
      </c>
      <c r="D142">
        <v>1</v>
      </c>
    </row>
    <row r="143" spans="3:4" x14ac:dyDescent="0.3">
      <c r="C143" t="s">
        <v>20</v>
      </c>
      <c r="D143">
        <v>1</v>
      </c>
    </row>
    <row r="144" spans="3:4" x14ac:dyDescent="0.3">
      <c r="C144" t="s">
        <v>20</v>
      </c>
      <c r="D144">
        <v>1</v>
      </c>
    </row>
    <row r="145" spans="3:4" x14ac:dyDescent="0.3">
      <c r="C145" t="s">
        <v>20</v>
      </c>
      <c r="D145">
        <v>1</v>
      </c>
    </row>
    <row r="146" spans="3:4" x14ac:dyDescent="0.3">
      <c r="C146" t="s">
        <v>20</v>
      </c>
      <c r="D146">
        <v>1</v>
      </c>
    </row>
    <row r="147" spans="3:4" x14ac:dyDescent="0.3">
      <c r="C147" t="s">
        <v>20</v>
      </c>
      <c r="D147">
        <v>1</v>
      </c>
    </row>
    <row r="148" spans="3:4" x14ac:dyDescent="0.3">
      <c r="C148" t="s">
        <v>20</v>
      </c>
      <c r="D148">
        <v>1</v>
      </c>
    </row>
    <row r="149" spans="3:4" x14ac:dyDescent="0.3">
      <c r="C149" t="s">
        <v>20</v>
      </c>
      <c r="D149">
        <v>1</v>
      </c>
    </row>
    <row r="150" spans="3:4" x14ac:dyDescent="0.3">
      <c r="C150" t="s">
        <v>20</v>
      </c>
      <c r="D150">
        <v>1</v>
      </c>
    </row>
    <row r="151" spans="3:4" x14ac:dyDescent="0.3">
      <c r="C151" t="s">
        <v>20</v>
      </c>
      <c r="D151">
        <v>1</v>
      </c>
    </row>
    <row r="152" spans="3:4" x14ac:dyDescent="0.3">
      <c r="C152" t="s">
        <v>20</v>
      </c>
      <c r="D152">
        <v>1</v>
      </c>
    </row>
    <row r="153" spans="3:4" x14ac:dyDescent="0.3">
      <c r="C153" t="s">
        <v>20</v>
      </c>
      <c r="D153">
        <v>1</v>
      </c>
    </row>
    <row r="154" spans="3:4" x14ac:dyDescent="0.3">
      <c r="C154" t="s">
        <v>20</v>
      </c>
      <c r="D154">
        <v>1</v>
      </c>
    </row>
    <row r="155" spans="3:4" x14ac:dyDescent="0.3">
      <c r="C155" t="s">
        <v>20</v>
      </c>
      <c r="D155">
        <v>1</v>
      </c>
    </row>
    <row r="156" spans="3:4" x14ac:dyDescent="0.3">
      <c r="C156" t="s">
        <v>20</v>
      </c>
      <c r="D156">
        <v>1</v>
      </c>
    </row>
    <row r="157" spans="3:4" x14ac:dyDescent="0.3">
      <c r="C157" t="s">
        <v>20</v>
      </c>
      <c r="D157">
        <v>1</v>
      </c>
    </row>
    <row r="158" spans="3:4" x14ac:dyDescent="0.3">
      <c r="C158" t="s">
        <v>20</v>
      </c>
      <c r="D158">
        <v>1</v>
      </c>
    </row>
    <row r="159" spans="3:4" x14ac:dyDescent="0.3">
      <c r="C159" t="s">
        <v>20</v>
      </c>
      <c r="D159">
        <v>1</v>
      </c>
    </row>
    <row r="160" spans="3:4" x14ac:dyDescent="0.3">
      <c r="C160" t="s">
        <v>20</v>
      </c>
      <c r="D160">
        <v>1</v>
      </c>
    </row>
    <row r="161" spans="3:4" x14ac:dyDescent="0.3">
      <c r="C161" t="s">
        <v>20</v>
      </c>
      <c r="D161">
        <v>1</v>
      </c>
    </row>
    <row r="162" spans="3:4" x14ac:dyDescent="0.3">
      <c r="C162" t="s">
        <v>20</v>
      </c>
      <c r="D162">
        <v>1</v>
      </c>
    </row>
    <row r="163" spans="3:4" x14ac:dyDescent="0.3">
      <c r="C163" t="s">
        <v>20</v>
      </c>
      <c r="D163">
        <v>1</v>
      </c>
    </row>
    <row r="164" spans="3:4" x14ac:dyDescent="0.3">
      <c r="C164" t="s">
        <v>20</v>
      </c>
      <c r="D164">
        <v>1</v>
      </c>
    </row>
    <row r="165" spans="3:4" x14ac:dyDescent="0.3">
      <c r="C165" t="s">
        <v>20</v>
      </c>
      <c r="D165">
        <v>1</v>
      </c>
    </row>
    <row r="166" spans="3:4" x14ac:dyDescent="0.3">
      <c r="C166" t="s">
        <v>20</v>
      </c>
      <c r="D166">
        <v>1</v>
      </c>
    </row>
    <row r="167" spans="3:4" x14ac:dyDescent="0.3">
      <c r="C167" t="s">
        <v>20</v>
      </c>
      <c r="D167">
        <v>1</v>
      </c>
    </row>
    <row r="168" spans="3:4" x14ac:dyDescent="0.3">
      <c r="C168" t="s">
        <v>20</v>
      </c>
      <c r="D168">
        <v>1</v>
      </c>
    </row>
    <row r="169" spans="3:4" x14ac:dyDescent="0.3">
      <c r="C169" t="s">
        <v>20</v>
      </c>
      <c r="D169">
        <v>1</v>
      </c>
    </row>
    <row r="170" spans="3:4" x14ac:dyDescent="0.3">
      <c r="C170" t="s">
        <v>20</v>
      </c>
      <c r="D170">
        <v>1</v>
      </c>
    </row>
    <row r="171" spans="3:4" x14ac:dyDescent="0.3">
      <c r="C171" t="s">
        <v>20</v>
      </c>
      <c r="D171">
        <v>1</v>
      </c>
    </row>
    <row r="172" spans="3:4" x14ac:dyDescent="0.3">
      <c r="C172" t="s">
        <v>20</v>
      </c>
      <c r="D172">
        <v>1</v>
      </c>
    </row>
    <row r="173" spans="3:4" x14ac:dyDescent="0.3">
      <c r="C173" t="s">
        <v>20</v>
      </c>
      <c r="D173">
        <v>1</v>
      </c>
    </row>
    <row r="174" spans="3:4" x14ac:dyDescent="0.3">
      <c r="C174" t="s">
        <v>20</v>
      </c>
      <c r="D174">
        <v>1</v>
      </c>
    </row>
    <row r="175" spans="3:4" x14ac:dyDescent="0.3">
      <c r="C175" t="s">
        <v>20</v>
      </c>
      <c r="D175">
        <v>1</v>
      </c>
    </row>
    <row r="176" spans="3:4" x14ac:dyDescent="0.3">
      <c r="C176" t="s">
        <v>20</v>
      </c>
      <c r="D176">
        <v>1</v>
      </c>
    </row>
    <row r="177" spans="3:4" x14ac:dyDescent="0.3">
      <c r="C177" t="s">
        <v>20</v>
      </c>
      <c r="D177">
        <v>1</v>
      </c>
    </row>
    <row r="178" spans="3:4" x14ac:dyDescent="0.3">
      <c r="C178" t="s">
        <v>20</v>
      </c>
      <c r="D178">
        <v>1</v>
      </c>
    </row>
    <row r="179" spans="3:4" x14ac:dyDescent="0.3">
      <c r="C179" t="s">
        <v>20</v>
      </c>
      <c r="D179">
        <v>1</v>
      </c>
    </row>
    <row r="180" spans="3:4" x14ac:dyDescent="0.3">
      <c r="C180" t="s">
        <v>20</v>
      </c>
      <c r="D180">
        <v>1</v>
      </c>
    </row>
    <row r="181" spans="3:4" x14ac:dyDescent="0.3">
      <c r="C181" t="s">
        <v>20</v>
      </c>
      <c r="D181">
        <v>1</v>
      </c>
    </row>
    <row r="182" spans="3:4" x14ac:dyDescent="0.3">
      <c r="C182" t="s">
        <v>20</v>
      </c>
      <c r="D182">
        <v>1</v>
      </c>
    </row>
    <row r="183" spans="3:4" x14ac:dyDescent="0.3">
      <c r="C183" t="s">
        <v>20</v>
      </c>
      <c r="D183">
        <v>1</v>
      </c>
    </row>
    <row r="184" spans="3:4" x14ac:dyDescent="0.3">
      <c r="C184" t="s">
        <v>26</v>
      </c>
      <c r="D184">
        <v>2</v>
      </c>
    </row>
    <row r="185" spans="3:4" x14ac:dyDescent="0.3">
      <c r="C185" t="s">
        <v>26</v>
      </c>
      <c r="D185">
        <v>2</v>
      </c>
    </row>
    <row r="186" spans="3:4" x14ac:dyDescent="0.3">
      <c r="C186" t="s">
        <v>26</v>
      </c>
      <c r="D186">
        <v>2</v>
      </c>
    </row>
    <row r="187" spans="3:4" x14ac:dyDescent="0.3">
      <c r="C187" t="s">
        <v>26</v>
      </c>
      <c r="D187">
        <v>2</v>
      </c>
    </row>
    <row r="188" spans="3:4" x14ac:dyDescent="0.3">
      <c r="C188" t="s">
        <v>26</v>
      </c>
      <c r="D188">
        <v>2</v>
      </c>
    </row>
    <row r="189" spans="3:4" x14ac:dyDescent="0.3">
      <c r="C189" t="s">
        <v>26</v>
      </c>
      <c r="D189">
        <v>2</v>
      </c>
    </row>
    <row r="190" spans="3:4" x14ac:dyDescent="0.3">
      <c r="C190" t="s">
        <v>26</v>
      </c>
      <c r="D190">
        <v>2</v>
      </c>
    </row>
    <row r="191" spans="3:4" x14ac:dyDescent="0.3">
      <c r="C191" t="s">
        <v>26</v>
      </c>
      <c r="D191">
        <v>2</v>
      </c>
    </row>
    <row r="192" spans="3:4" x14ac:dyDescent="0.3">
      <c r="C192" t="s">
        <v>26</v>
      </c>
      <c r="D192">
        <v>2</v>
      </c>
    </row>
    <row r="193" spans="3:4" x14ac:dyDescent="0.3">
      <c r="C193" t="s">
        <v>26</v>
      </c>
      <c r="D193">
        <v>2</v>
      </c>
    </row>
    <row r="194" spans="3:4" x14ac:dyDescent="0.3">
      <c r="C194" t="s">
        <v>26</v>
      </c>
      <c r="D194">
        <v>2</v>
      </c>
    </row>
    <row r="195" spans="3:4" x14ac:dyDescent="0.3">
      <c r="C195" t="s">
        <v>26</v>
      </c>
      <c r="D195">
        <v>2</v>
      </c>
    </row>
    <row r="196" spans="3:4" x14ac:dyDescent="0.3">
      <c r="C196" t="s">
        <v>26</v>
      </c>
      <c r="D196">
        <v>2</v>
      </c>
    </row>
    <row r="197" spans="3:4" x14ac:dyDescent="0.3">
      <c r="C197" t="s">
        <v>26</v>
      </c>
      <c r="D197">
        <v>2</v>
      </c>
    </row>
    <row r="198" spans="3:4" x14ac:dyDescent="0.3">
      <c r="C198" t="s">
        <v>26</v>
      </c>
      <c r="D198">
        <v>2</v>
      </c>
    </row>
    <row r="199" spans="3:4" x14ac:dyDescent="0.3">
      <c r="C199" t="s">
        <v>26</v>
      </c>
      <c r="D199">
        <v>2</v>
      </c>
    </row>
    <row r="200" spans="3:4" x14ac:dyDescent="0.3">
      <c r="C200" t="s">
        <v>26</v>
      </c>
      <c r="D200">
        <v>2</v>
      </c>
    </row>
    <row r="201" spans="3:4" x14ac:dyDescent="0.3">
      <c r="C201" t="s">
        <v>26</v>
      </c>
      <c r="D201">
        <v>2</v>
      </c>
    </row>
    <row r="202" spans="3:4" x14ac:dyDescent="0.3">
      <c r="C202" t="s">
        <v>26</v>
      </c>
      <c r="D202">
        <v>2</v>
      </c>
    </row>
    <row r="203" spans="3:4" x14ac:dyDescent="0.3">
      <c r="C203" t="s">
        <v>26</v>
      </c>
      <c r="D203">
        <v>2</v>
      </c>
    </row>
    <row r="204" spans="3:4" x14ac:dyDescent="0.3">
      <c r="C204" t="s">
        <v>26</v>
      </c>
      <c r="D204">
        <v>2</v>
      </c>
    </row>
    <row r="205" spans="3:4" x14ac:dyDescent="0.3">
      <c r="C205" t="s">
        <v>26</v>
      </c>
      <c r="D205">
        <v>2</v>
      </c>
    </row>
    <row r="206" spans="3:4" x14ac:dyDescent="0.3">
      <c r="C206" t="s">
        <v>26</v>
      </c>
      <c r="D206">
        <v>2</v>
      </c>
    </row>
    <row r="207" spans="3:4" x14ac:dyDescent="0.3">
      <c r="C207" t="s">
        <v>26</v>
      </c>
      <c r="D207">
        <v>2</v>
      </c>
    </row>
    <row r="208" spans="3:4" x14ac:dyDescent="0.3">
      <c r="C208" t="s">
        <v>26</v>
      </c>
      <c r="D208">
        <v>2</v>
      </c>
    </row>
    <row r="209" spans="3:4" x14ac:dyDescent="0.3">
      <c r="C209" t="s">
        <v>26</v>
      </c>
      <c r="D209">
        <v>2</v>
      </c>
    </row>
    <row r="210" spans="3:4" x14ac:dyDescent="0.3">
      <c r="C210" t="s">
        <v>26</v>
      </c>
      <c r="D210">
        <v>2</v>
      </c>
    </row>
    <row r="211" spans="3:4" x14ac:dyDescent="0.3">
      <c r="C211" t="s">
        <v>26</v>
      </c>
      <c r="D211">
        <v>2</v>
      </c>
    </row>
    <row r="213" spans="3:4" x14ac:dyDescent="0.3">
      <c r="C213" t="s">
        <v>47</v>
      </c>
      <c r="D213" s="3">
        <f>AVERAGE(D$3:D$211)</f>
        <v>1.1339712918660287</v>
      </c>
    </row>
    <row r="215" spans="3:4" ht="15.6" x14ac:dyDescent="0.3">
      <c r="C215" t="s">
        <v>48</v>
      </c>
      <c r="D215" s="4">
        <f>STDEV(D$3:D$211)</f>
        <v>0.3414392883565382</v>
      </c>
    </row>
    <row r="218" spans="3:4" x14ac:dyDescent="0.3">
      <c r="C218" t="s">
        <v>49</v>
      </c>
      <c r="D218">
        <f>MIN(D$3:D$211)</f>
        <v>1</v>
      </c>
    </row>
    <row r="220" spans="3:4" x14ac:dyDescent="0.3">
      <c r="C220" t="s">
        <v>50</v>
      </c>
      <c r="D220" s="3">
        <f>QUARTILE(D$3:D$211,1)</f>
        <v>1</v>
      </c>
    </row>
    <row r="222" spans="3:4" x14ac:dyDescent="0.3">
      <c r="C222" t="s">
        <v>51</v>
      </c>
      <c r="D222" s="3">
        <f>MEDIAN(D$3:D$211)</f>
        <v>1</v>
      </c>
    </row>
    <row r="224" spans="3:4" x14ac:dyDescent="0.3">
      <c r="C224" t="s">
        <v>52</v>
      </c>
      <c r="D224">
        <f>QUARTILE(D$3:D$211,3)</f>
        <v>1</v>
      </c>
    </row>
    <row r="226" spans="3:4" x14ac:dyDescent="0.3">
      <c r="C226" t="s">
        <v>53</v>
      </c>
      <c r="D226">
        <f>MAX(D$3:D$211)</f>
        <v>2</v>
      </c>
    </row>
    <row r="228" spans="3:4" x14ac:dyDescent="0.3">
      <c r="C228" t="s">
        <v>54</v>
      </c>
      <c r="D228">
        <f>D226-D218</f>
        <v>1</v>
      </c>
    </row>
    <row r="230" spans="3:4" x14ac:dyDescent="0.3">
      <c r="C230" t="s">
        <v>55</v>
      </c>
      <c r="D230">
        <f>D220-D224</f>
        <v>0</v>
      </c>
    </row>
    <row r="232" spans="3:4" x14ac:dyDescent="0.3">
      <c r="C232" t="s">
        <v>56</v>
      </c>
      <c r="D232">
        <f>MODE(D$3:D$211)</f>
        <v>1</v>
      </c>
    </row>
  </sheetData>
  <sortState xmlns:xlrd2="http://schemas.microsoft.com/office/spreadsheetml/2017/richdata2" ref="C3:C211">
    <sortCondition ref="C3:C211"/>
  </sortState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C66A4-A17D-4CBB-9A7B-FA93B3CDE548}">
  <dimension ref="C1:H232"/>
  <sheetViews>
    <sheetView topLeftCell="G1" workbookViewId="0">
      <selection activeCell="I24" sqref="I24"/>
    </sheetView>
  </sheetViews>
  <sheetFormatPr defaultRowHeight="14.4" x14ac:dyDescent="0.3"/>
  <cols>
    <col min="7" max="7" width="16.6640625" customWidth="1"/>
  </cols>
  <sheetData>
    <row r="1" spans="3:8" x14ac:dyDescent="0.3">
      <c r="C1">
        <v>6</v>
      </c>
    </row>
    <row r="2" spans="3:8" x14ac:dyDescent="0.3">
      <c r="C2" t="s">
        <v>5</v>
      </c>
      <c r="G2" t="s">
        <v>103</v>
      </c>
      <c r="H2" s="1" t="s">
        <v>104</v>
      </c>
    </row>
    <row r="3" spans="3:8" x14ac:dyDescent="0.3">
      <c r="C3" t="s">
        <v>24</v>
      </c>
      <c r="D3">
        <v>1</v>
      </c>
      <c r="G3" t="s">
        <v>98</v>
      </c>
      <c r="H3" t="s">
        <v>105</v>
      </c>
    </row>
    <row r="4" spans="3:8" x14ac:dyDescent="0.3">
      <c r="C4" t="s">
        <v>24</v>
      </c>
      <c r="D4">
        <v>1</v>
      </c>
    </row>
    <row r="5" spans="3:8" x14ac:dyDescent="0.3">
      <c r="C5" t="s">
        <v>24</v>
      </c>
      <c r="D5">
        <v>1</v>
      </c>
    </row>
    <row r="6" spans="3:8" x14ac:dyDescent="0.3">
      <c r="C6" t="s">
        <v>24</v>
      </c>
      <c r="D6">
        <v>1</v>
      </c>
      <c r="G6" t="s">
        <v>106</v>
      </c>
    </row>
    <row r="7" spans="3:8" x14ac:dyDescent="0.3">
      <c r="C7" t="s">
        <v>24</v>
      </c>
      <c r="D7">
        <v>1</v>
      </c>
      <c r="G7" t="s">
        <v>93</v>
      </c>
      <c r="H7" t="s">
        <v>63</v>
      </c>
    </row>
    <row r="8" spans="3:8" x14ac:dyDescent="0.3">
      <c r="C8" t="s">
        <v>24</v>
      </c>
      <c r="D8">
        <v>1</v>
      </c>
      <c r="G8" t="s">
        <v>107</v>
      </c>
      <c r="H8">
        <f>COUNT(D3:D194)</f>
        <v>192</v>
      </c>
    </row>
    <row r="9" spans="3:8" x14ac:dyDescent="0.3">
      <c r="C9" t="s">
        <v>24</v>
      </c>
      <c r="D9">
        <v>1</v>
      </c>
      <c r="G9" t="s">
        <v>108</v>
      </c>
      <c r="H9">
        <f>COUNT(D195:D211)</f>
        <v>17</v>
      </c>
    </row>
    <row r="10" spans="3:8" x14ac:dyDescent="0.3">
      <c r="C10" t="s">
        <v>24</v>
      </c>
      <c r="D10">
        <v>1</v>
      </c>
    </row>
    <row r="11" spans="3:8" x14ac:dyDescent="0.3">
      <c r="C11" t="s">
        <v>24</v>
      </c>
      <c r="D11">
        <v>1</v>
      </c>
    </row>
    <row r="12" spans="3:8" x14ac:dyDescent="0.3">
      <c r="C12" t="s">
        <v>24</v>
      </c>
      <c r="D12">
        <v>1</v>
      </c>
    </row>
    <row r="13" spans="3:8" x14ac:dyDescent="0.3">
      <c r="C13" t="s">
        <v>24</v>
      </c>
      <c r="D13">
        <v>1</v>
      </c>
    </row>
    <row r="14" spans="3:8" x14ac:dyDescent="0.3">
      <c r="C14" t="s">
        <v>24</v>
      </c>
      <c r="D14">
        <v>1</v>
      </c>
    </row>
    <row r="15" spans="3:8" x14ac:dyDescent="0.3">
      <c r="C15" t="s">
        <v>24</v>
      </c>
      <c r="D15">
        <v>1</v>
      </c>
    </row>
    <row r="16" spans="3:8" x14ac:dyDescent="0.3">
      <c r="C16" t="s">
        <v>24</v>
      </c>
      <c r="D16">
        <v>1</v>
      </c>
    </row>
    <row r="17" spans="3:4" x14ac:dyDescent="0.3">
      <c r="C17" t="s">
        <v>24</v>
      </c>
      <c r="D17">
        <v>1</v>
      </c>
    </row>
    <row r="18" spans="3:4" x14ac:dyDescent="0.3">
      <c r="C18" t="s">
        <v>24</v>
      </c>
      <c r="D18">
        <v>1</v>
      </c>
    </row>
    <row r="19" spans="3:4" x14ac:dyDescent="0.3">
      <c r="C19" t="s">
        <v>24</v>
      </c>
      <c r="D19">
        <v>1</v>
      </c>
    </row>
    <row r="20" spans="3:4" x14ac:dyDescent="0.3">
      <c r="C20" t="s">
        <v>24</v>
      </c>
      <c r="D20">
        <v>1</v>
      </c>
    </row>
    <row r="21" spans="3:4" x14ac:dyDescent="0.3">
      <c r="C21" t="s">
        <v>24</v>
      </c>
      <c r="D21">
        <v>1</v>
      </c>
    </row>
    <row r="22" spans="3:4" x14ac:dyDescent="0.3">
      <c r="C22" t="s">
        <v>24</v>
      </c>
      <c r="D22">
        <v>1</v>
      </c>
    </row>
    <row r="23" spans="3:4" x14ac:dyDescent="0.3">
      <c r="C23" t="s">
        <v>24</v>
      </c>
      <c r="D23">
        <v>1</v>
      </c>
    </row>
    <row r="24" spans="3:4" x14ac:dyDescent="0.3">
      <c r="C24" t="s">
        <v>24</v>
      </c>
      <c r="D24">
        <v>1</v>
      </c>
    </row>
    <row r="25" spans="3:4" x14ac:dyDescent="0.3">
      <c r="C25" t="s">
        <v>24</v>
      </c>
      <c r="D25">
        <v>1</v>
      </c>
    </row>
    <row r="26" spans="3:4" x14ac:dyDescent="0.3">
      <c r="C26" t="s">
        <v>24</v>
      </c>
      <c r="D26">
        <v>1</v>
      </c>
    </row>
    <row r="27" spans="3:4" x14ac:dyDescent="0.3">
      <c r="C27" t="s">
        <v>24</v>
      </c>
      <c r="D27">
        <v>1</v>
      </c>
    </row>
    <row r="28" spans="3:4" x14ac:dyDescent="0.3">
      <c r="C28" t="s">
        <v>24</v>
      </c>
      <c r="D28">
        <v>1</v>
      </c>
    </row>
    <row r="29" spans="3:4" x14ac:dyDescent="0.3">
      <c r="C29" t="s">
        <v>24</v>
      </c>
      <c r="D29">
        <v>1</v>
      </c>
    </row>
    <row r="30" spans="3:4" x14ac:dyDescent="0.3">
      <c r="C30" t="s">
        <v>24</v>
      </c>
      <c r="D30">
        <v>1</v>
      </c>
    </row>
    <row r="31" spans="3:4" x14ac:dyDescent="0.3">
      <c r="C31" t="s">
        <v>24</v>
      </c>
      <c r="D31">
        <v>1</v>
      </c>
    </row>
    <row r="32" spans="3:4" x14ac:dyDescent="0.3">
      <c r="C32" t="s">
        <v>24</v>
      </c>
      <c r="D32">
        <v>1</v>
      </c>
    </row>
    <row r="33" spans="3:4" x14ac:dyDescent="0.3">
      <c r="C33" t="s">
        <v>24</v>
      </c>
      <c r="D33">
        <v>1</v>
      </c>
    </row>
    <row r="34" spans="3:4" x14ac:dyDescent="0.3">
      <c r="C34" t="s">
        <v>24</v>
      </c>
      <c r="D34">
        <v>1</v>
      </c>
    </row>
    <row r="35" spans="3:4" x14ac:dyDescent="0.3">
      <c r="C35" t="s">
        <v>24</v>
      </c>
      <c r="D35">
        <v>1</v>
      </c>
    </row>
    <row r="36" spans="3:4" x14ac:dyDescent="0.3">
      <c r="C36" t="s">
        <v>24</v>
      </c>
      <c r="D36">
        <v>1</v>
      </c>
    </row>
    <row r="37" spans="3:4" x14ac:dyDescent="0.3">
      <c r="C37" t="s">
        <v>24</v>
      </c>
      <c r="D37">
        <v>1</v>
      </c>
    </row>
    <row r="38" spans="3:4" x14ac:dyDescent="0.3">
      <c r="C38" t="s">
        <v>24</v>
      </c>
      <c r="D38">
        <v>1</v>
      </c>
    </row>
    <row r="39" spans="3:4" x14ac:dyDescent="0.3">
      <c r="C39" t="s">
        <v>24</v>
      </c>
      <c r="D39">
        <v>1</v>
      </c>
    </row>
    <row r="40" spans="3:4" x14ac:dyDescent="0.3">
      <c r="C40" t="s">
        <v>24</v>
      </c>
      <c r="D40">
        <v>1</v>
      </c>
    </row>
    <row r="41" spans="3:4" x14ac:dyDescent="0.3">
      <c r="C41" t="s">
        <v>24</v>
      </c>
      <c r="D41">
        <v>1</v>
      </c>
    </row>
    <row r="42" spans="3:4" x14ac:dyDescent="0.3">
      <c r="C42" t="s">
        <v>24</v>
      </c>
      <c r="D42">
        <v>1</v>
      </c>
    </row>
    <row r="43" spans="3:4" x14ac:dyDescent="0.3">
      <c r="C43" t="s">
        <v>24</v>
      </c>
      <c r="D43">
        <v>1</v>
      </c>
    </row>
    <row r="44" spans="3:4" x14ac:dyDescent="0.3">
      <c r="C44" t="s">
        <v>24</v>
      </c>
      <c r="D44">
        <v>1</v>
      </c>
    </row>
    <row r="45" spans="3:4" x14ac:dyDescent="0.3">
      <c r="C45" t="s">
        <v>24</v>
      </c>
      <c r="D45">
        <v>1</v>
      </c>
    </row>
    <row r="46" spans="3:4" x14ac:dyDescent="0.3">
      <c r="C46" t="s">
        <v>24</v>
      </c>
      <c r="D46">
        <v>1</v>
      </c>
    </row>
    <row r="47" spans="3:4" x14ac:dyDescent="0.3">
      <c r="C47" t="s">
        <v>24</v>
      </c>
      <c r="D47">
        <v>1</v>
      </c>
    </row>
    <row r="48" spans="3:4" x14ac:dyDescent="0.3">
      <c r="C48" t="s">
        <v>24</v>
      </c>
      <c r="D48">
        <v>1</v>
      </c>
    </row>
    <row r="49" spans="3:4" x14ac:dyDescent="0.3">
      <c r="C49" t="s">
        <v>24</v>
      </c>
      <c r="D49">
        <v>1</v>
      </c>
    </row>
    <row r="50" spans="3:4" x14ac:dyDescent="0.3">
      <c r="C50" t="s">
        <v>24</v>
      </c>
      <c r="D50">
        <v>1</v>
      </c>
    </row>
    <row r="51" spans="3:4" x14ac:dyDescent="0.3">
      <c r="C51" t="s">
        <v>24</v>
      </c>
      <c r="D51">
        <v>1</v>
      </c>
    </row>
    <row r="52" spans="3:4" x14ac:dyDescent="0.3">
      <c r="C52" t="s">
        <v>24</v>
      </c>
      <c r="D52">
        <v>1</v>
      </c>
    </row>
    <row r="53" spans="3:4" x14ac:dyDescent="0.3">
      <c r="C53" t="s">
        <v>24</v>
      </c>
      <c r="D53">
        <v>1</v>
      </c>
    </row>
    <row r="54" spans="3:4" x14ac:dyDescent="0.3">
      <c r="C54" t="s">
        <v>24</v>
      </c>
      <c r="D54">
        <v>1</v>
      </c>
    </row>
    <row r="55" spans="3:4" x14ac:dyDescent="0.3">
      <c r="C55" t="s">
        <v>24</v>
      </c>
      <c r="D55">
        <v>1</v>
      </c>
    </row>
    <row r="56" spans="3:4" x14ac:dyDescent="0.3">
      <c r="C56" t="s">
        <v>24</v>
      </c>
      <c r="D56">
        <v>1</v>
      </c>
    </row>
    <row r="57" spans="3:4" x14ac:dyDescent="0.3">
      <c r="C57" t="s">
        <v>24</v>
      </c>
      <c r="D57">
        <v>1</v>
      </c>
    </row>
    <row r="58" spans="3:4" x14ac:dyDescent="0.3">
      <c r="C58" t="s">
        <v>24</v>
      </c>
      <c r="D58">
        <v>1</v>
      </c>
    </row>
    <row r="59" spans="3:4" x14ac:dyDescent="0.3">
      <c r="C59" t="s">
        <v>24</v>
      </c>
      <c r="D59">
        <v>1</v>
      </c>
    </row>
    <row r="60" spans="3:4" x14ac:dyDescent="0.3">
      <c r="C60" t="s">
        <v>24</v>
      </c>
      <c r="D60">
        <v>1</v>
      </c>
    </row>
    <row r="61" spans="3:4" x14ac:dyDescent="0.3">
      <c r="C61" t="s">
        <v>24</v>
      </c>
      <c r="D61">
        <v>1</v>
      </c>
    </row>
    <row r="62" spans="3:4" x14ac:dyDescent="0.3">
      <c r="C62" t="s">
        <v>24</v>
      </c>
      <c r="D62">
        <v>1</v>
      </c>
    </row>
    <row r="63" spans="3:4" x14ac:dyDescent="0.3">
      <c r="C63" t="s">
        <v>24</v>
      </c>
      <c r="D63">
        <v>1</v>
      </c>
    </row>
    <row r="64" spans="3:4" x14ac:dyDescent="0.3">
      <c r="C64" t="s">
        <v>24</v>
      </c>
      <c r="D64">
        <v>1</v>
      </c>
    </row>
    <row r="65" spans="3:4" x14ac:dyDescent="0.3">
      <c r="C65" t="s">
        <v>24</v>
      </c>
      <c r="D65">
        <v>1</v>
      </c>
    </row>
    <row r="66" spans="3:4" x14ac:dyDescent="0.3">
      <c r="C66" t="s">
        <v>24</v>
      </c>
      <c r="D66">
        <v>1</v>
      </c>
    </row>
    <row r="67" spans="3:4" x14ac:dyDescent="0.3">
      <c r="C67" t="s">
        <v>24</v>
      </c>
      <c r="D67">
        <v>1</v>
      </c>
    </row>
    <row r="68" spans="3:4" x14ac:dyDescent="0.3">
      <c r="C68" t="s">
        <v>24</v>
      </c>
      <c r="D68">
        <v>1</v>
      </c>
    </row>
    <row r="69" spans="3:4" x14ac:dyDescent="0.3">
      <c r="C69" t="s">
        <v>24</v>
      </c>
      <c r="D69">
        <v>1</v>
      </c>
    </row>
    <row r="70" spans="3:4" x14ac:dyDescent="0.3">
      <c r="C70" t="s">
        <v>24</v>
      </c>
      <c r="D70">
        <v>1</v>
      </c>
    </row>
    <row r="71" spans="3:4" x14ac:dyDescent="0.3">
      <c r="C71" t="s">
        <v>24</v>
      </c>
      <c r="D71">
        <v>1</v>
      </c>
    </row>
    <row r="72" spans="3:4" x14ac:dyDescent="0.3">
      <c r="C72" t="s">
        <v>24</v>
      </c>
      <c r="D72">
        <v>1</v>
      </c>
    </row>
    <row r="73" spans="3:4" x14ac:dyDescent="0.3">
      <c r="C73" t="s">
        <v>24</v>
      </c>
      <c r="D73">
        <v>1</v>
      </c>
    </row>
    <row r="74" spans="3:4" x14ac:dyDescent="0.3">
      <c r="C74" t="s">
        <v>24</v>
      </c>
      <c r="D74">
        <v>1</v>
      </c>
    </row>
    <row r="75" spans="3:4" x14ac:dyDescent="0.3">
      <c r="C75" t="s">
        <v>24</v>
      </c>
      <c r="D75">
        <v>1</v>
      </c>
    </row>
    <row r="76" spans="3:4" x14ac:dyDescent="0.3">
      <c r="C76" t="s">
        <v>24</v>
      </c>
      <c r="D76">
        <v>1</v>
      </c>
    </row>
    <row r="77" spans="3:4" x14ac:dyDescent="0.3">
      <c r="C77" t="s">
        <v>24</v>
      </c>
      <c r="D77">
        <v>1</v>
      </c>
    </row>
    <row r="78" spans="3:4" x14ac:dyDescent="0.3">
      <c r="C78" t="s">
        <v>24</v>
      </c>
      <c r="D78">
        <v>1</v>
      </c>
    </row>
    <row r="79" spans="3:4" x14ac:dyDescent="0.3">
      <c r="C79" t="s">
        <v>24</v>
      </c>
      <c r="D79">
        <v>1</v>
      </c>
    </row>
    <row r="80" spans="3:4" x14ac:dyDescent="0.3">
      <c r="C80" t="s">
        <v>24</v>
      </c>
      <c r="D80">
        <v>1</v>
      </c>
    </row>
    <row r="81" spans="3:4" x14ac:dyDescent="0.3">
      <c r="C81" t="s">
        <v>24</v>
      </c>
      <c r="D81">
        <v>1</v>
      </c>
    </row>
    <row r="82" spans="3:4" x14ac:dyDescent="0.3">
      <c r="C82" t="s">
        <v>24</v>
      </c>
      <c r="D82">
        <v>1</v>
      </c>
    </row>
    <row r="83" spans="3:4" x14ac:dyDescent="0.3">
      <c r="C83" t="s">
        <v>24</v>
      </c>
      <c r="D83">
        <v>1</v>
      </c>
    </row>
    <row r="84" spans="3:4" x14ac:dyDescent="0.3">
      <c r="C84" t="s">
        <v>24</v>
      </c>
      <c r="D84">
        <v>1</v>
      </c>
    </row>
    <row r="85" spans="3:4" x14ac:dyDescent="0.3">
      <c r="C85" t="s">
        <v>24</v>
      </c>
      <c r="D85">
        <v>1</v>
      </c>
    </row>
    <row r="86" spans="3:4" x14ac:dyDescent="0.3">
      <c r="C86" t="s">
        <v>24</v>
      </c>
      <c r="D86">
        <v>1</v>
      </c>
    </row>
    <row r="87" spans="3:4" x14ac:dyDescent="0.3">
      <c r="C87" t="s">
        <v>24</v>
      </c>
      <c r="D87">
        <v>1</v>
      </c>
    </row>
    <row r="88" spans="3:4" x14ac:dyDescent="0.3">
      <c r="C88" t="s">
        <v>24</v>
      </c>
      <c r="D88">
        <v>1</v>
      </c>
    </row>
    <row r="89" spans="3:4" x14ac:dyDescent="0.3">
      <c r="C89" t="s">
        <v>24</v>
      </c>
      <c r="D89">
        <v>1</v>
      </c>
    </row>
    <row r="90" spans="3:4" x14ac:dyDescent="0.3">
      <c r="C90" t="s">
        <v>24</v>
      </c>
      <c r="D90">
        <v>1</v>
      </c>
    </row>
    <row r="91" spans="3:4" x14ac:dyDescent="0.3">
      <c r="C91" t="s">
        <v>24</v>
      </c>
      <c r="D91">
        <v>1</v>
      </c>
    </row>
    <row r="92" spans="3:4" x14ac:dyDescent="0.3">
      <c r="C92" t="s">
        <v>24</v>
      </c>
      <c r="D92">
        <v>1</v>
      </c>
    </row>
    <row r="93" spans="3:4" x14ac:dyDescent="0.3">
      <c r="C93" t="s">
        <v>24</v>
      </c>
      <c r="D93">
        <v>1</v>
      </c>
    </row>
    <row r="94" spans="3:4" x14ac:dyDescent="0.3">
      <c r="C94" t="s">
        <v>24</v>
      </c>
      <c r="D94">
        <v>1</v>
      </c>
    </row>
    <row r="95" spans="3:4" x14ac:dyDescent="0.3">
      <c r="C95" t="s">
        <v>24</v>
      </c>
      <c r="D95">
        <v>1</v>
      </c>
    </row>
    <row r="96" spans="3:4" x14ac:dyDescent="0.3">
      <c r="C96" t="s">
        <v>24</v>
      </c>
      <c r="D96">
        <v>1</v>
      </c>
    </row>
    <row r="97" spans="3:4" x14ac:dyDescent="0.3">
      <c r="C97" t="s">
        <v>24</v>
      </c>
      <c r="D97">
        <v>1</v>
      </c>
    </row>
    <row r="98" spans="3:4" x14ac:dyDescent="0.3">
      <c r="C98" t="s">
        <v>24</v>
      </c>
      <c r="D98">
        <v>1</v>
      </c>
    </row>
    <row r="99" spans="3:4" x14ac:dyDescent="0.3">
      <c r="C99" t="s">
        <v>24</v>
      </c>
      <c r="D99">
        <v>1</v>
      </c>
    </row>
    <row r="100" spans="3:4" x14ac:dyDescent="0.3">
      <c r="C100" t="s">
        <v>24</v>
      </c>
      <c r="D100">
        <v>1</v>
      </c>
    </row>
    <row r="101" spans="3:4" x14ac:dyDescent="0.3">
      <c r="C101" t="s">
        <v>24</v>
      </c>
      <c r="D101">
        <v>1</v>
      </c>
    </row>
    <row r="102" spans="3:4" x14ac:dyDescent="0.3">
      <c r="C102" t="s">
        <v>24</v>
      </c>
      <c r="D102">
        <v>1</v>
      </c>
    </row>
    <row r="103" spans="3:4" x14ac:dyDescent="0.3">
      <c r="C103" t="s">
        <v>24</v>
      </c>
      <c r="D103">
        <v>1</v>
      </c>
    </row>
    <row r="104" spans="3:4" x14ac:dyDescent="0.3">
      <c r="C104" t="s">
        <v>24</v>
      </c>
      <c r="D104">
        <v>1</v>
      </c>
    </row>
    <row r="105" spans="3:4" x14ac:dyDescent="0.3">
      <c r="C105" t="s">
        <v>24</v>
      </c>
      <c r="D105">
        <v>1</v>
      </c>
    </row>
    <row r="106" spans="3:4" x14ac:dyDescent="0.3">
      <c r="C106" t="s">
        <v>24</v>
      </c>
      <c r="D106">
        <v>1</v>
      </c>
    </row>
    <row r="107" spans="3:4" x14ac:dyDescent="0.3">
      <c r="C107" t="s">
        <v>24</v>
      </c>
      <c r="D107">
        <v>1</v>
      </c>
    </row>
    <row r="108" spans="3:4" x14ac:dyDescent="0.3">
      <c r="C108" t="s">
        <v>24</v>
      </c>
      <c r="D108">
        <v>1</v>
      </c>
    </row>
    <row r="109" spans="3:4" x14ac:dyDescent="0.3">
      <c r="C109" t="s">
        <v>24</v>
      </c>
      <c r="D109">
        <v>1</v>
      </c>
    </row>
    <row r="110" spans="3:4" x14ac:dyDescent="0.3">
      <c r="C110" t="s">
        <v>24</v>
      </c>
      <c r="D110">
        <v>1</v>
      </c>
    </row>
    <row r="111" spans="3:4" x14ac:dyDescent="0.3">
      <c r="C111" t="s">
        <v>24</v>
      </c>
      <c r="D111">
        <v>1</v>
      </c>
    </row>
    <row r="112" spans="3:4" x14ac:dyDescent="0.3">
      <c r="C112" t="s">
        <v>24</v>
      </c>
      <c r="D112">
        <v>1</v>
      </c>
    </row>
    <row r="113" spans="3:4" x14ac:dyDescent="0.3">
      <c r="C113" t="s">
        <v>24</v>
      </c>
      <c r="D113">
        <v>1</v>
      </c>
    </row>
    <row r="114" spans="3:4" x14ac:dyDescent="0.3">
      <c r="C114" t="s">
        <v>24</v>
      </c>
      <c r="D114">
        <v>1</v>
      </c>
    </row>
    <row r="115" spans="3:4" x14ac:dyDescent="0.3">
      <c r="C115" t="s">
        <v>24</v>
      </c>
      <c r="D115">
        <v>1</v>
      </c>
    </row>
    <row r="116" spans="3:4" x14ac:dyDescent="0.3">
      <c r="C116" t="s">
        <v>24</v>
      </c>
      <c r="D116">
        <v>1</v>
      </c>
    </row>
    <row r="117" spans="3:4" x14ac:dyDescent="0.3">
      <c r="C117" t="s">
        <v>24</v>
      </c>
      <c r="D117">
        <v>1</v>
      </c>
    </row>
    <row r="118" spans="3:4" x14ac:dyDescent="0.3">
      <c r="C118" t="s">
        <v>24</v>
      </c>
      <c r="D118">
        <v>1</v>
      </c>
    </row>
    <row r="119" spans="3:4" x14ac:dyDescent="0.3">
      <c r="C119" t="s">
        <v>24</v>
      </c>
      <c r="D119">
        <v>1</v>
      </c>
    </row>
    <row r="120" spans="3:4" x14ac:dyDescent="0.3">
      <c r="C120" t="s">
        <v>24</v>
      </c>
      <c r="D120">
        <v>1</v>
      </c>
    </row>
    <row r="121" spans="3:4" x14ac:dyDescent="0.3">
      <c r="C121" t="s">
        <v>24</v>
      </c>
      <c r="D121">
        <v>1</v>
      </c>
    </row>
    <row r="122" spans="3:4" x14ac:dyDescent="0.3">
      <c r="C122" t="s">
        <v>24</v>
      </c>
      <c r="D122">
        <v>1</v>
      </c>
    </row>
    <row r="123" spans="3:4" x14ac:dyDescent="0.3">
      <c r="C123" t="s">
        <v>24</v>
      </c>
      <c r="D123">
        <v>1</v>
      </c>
    </row>
    <row r="124" spans="3:4" x14ac:dyDescent="0.3">
      <c r="C124" t="s">
        <v>24</v>
      </c>
      <c r="D124">
        <v>1</v>
      </c>
    </row>
    <row r="125" spans="3:4" x14ac:dyDescent="0.3">
      <c r="C125" t="s">
        <v>24</v>
      </c>
      <c r="D125">
        <v>1</v>
      </c>
    </row>
    <row r="126" spans="3:4" x14ac:dyDescent="0.3">
      <c r="C126" t="s">
        <v>24</v>
      </c>
      <c r="D126">
        <v>1</v>
      </c>
    </row>
    <row r="127" spans="3:4" x14ac:dyDescent="0.3">
      <c r="C127" t="s">
        <v>24</v>
      </c>
      <c r="D127">
        <v>1</v>
      </c>
    </row>
    <row r="128" spans="3:4" x14ac:dyDescent="0.3">
      <c r="C128" t="s">
        <v>24</v>
      </c>
      <c r="D128">
        <v>1</v>
      </c>
    </row>
    <row r="129" spans="3:4" x14ac:dyDescent="0.3">
      <c r="C129" t="s">
        <v>24</v>
      </c>
      <c r="D129">
        <v>1</v>
      </c>
    </row>
    <row r="130" spans="3:4" x14ac:dyDescent="0.3">
      <c r="C130" t="s">
        <v>24</v>
      </c>
      <c r="D130">
        <v>1</v>
      </c>
    </row>
    <row r="131" spans="3:4" x14ac:dyDescent="0.3">
      <c r="C131" t="s">
        <v>24</v>
      </c>
      <c r="D131">
        <v>1</v>
      </c>
    </row>
    <row r="132" spans="3:4" x14ac:dyDescent="0.3">
      <c r="C132" t="s">
        <v>24</v>
      </c>
      <c r="D132">
        <v>1</v>
      </c>
    </row>
    <row r="133" spans="3:4" x14ac:dyDescent="0.3">
      <c r="C133" t="s">
        <v>24</v>
      </c>
      <c r="D133">
        <v>1</v>
      </c>
    </row>
    <row r="134" spans="3:4" x14ac:dyDescent="0.3">
      <c r="C134" t="s">
        <v>24</v>
      </c>
      <c r="D134">
        <v>1</v>
      </c>
    </row>
    <row r="135" spans="3:4" x14ac:dyDescent="0.3">
      <c r="C135" t="s">
        <v>24</v>
      </c>
      <c r="D135">
        <v>1</v>
      </c>
    </row>
    <row r="136" spans="3:4" x14ac:dyDescent="0.3">
      <c r="C136" t="s">
        <v>24</v>
      </c>
      <c r="D136">
        <v>1</v>
      </c>
    </row>
    <row r="137" spans="3:4" x14ac:dyDescent="0.3">
      <c r="C137" t="s">
        <v>24</v>
      </c>
      <c r="D137">
        <v>1</v>
      </c>
    </row>
    <row r="138" spans="3:4" x14ac:dyDescent="0.3">
      <c r="C138" t="s">
        <v>24</v>
      </c>
      <c r="D138">
        <v>1</v>
      </c>
    </row>
    <row r="139" spans="3:4" x14ac:dyDescent="0.3">
      <c r="C139" t="s">
        <v>24</v>
      </c>
      <c r="D139">
        <v>1</v>
      </c>
    </row>
    <row r="140" spans="3:4" x14ac:dyDescent="0.3">
      <c r="C140" t="s">
        <v>24</v>
      </c>
      <c r="D140">
        <v>1</v>
      </c>
    </row>
    <row r="141" spans="3:4" x14ac:dyDescent="0.3">
      <c r="C141" t="s">
        <v>24</v>
      </c>
      <c r="D141">
        <v>1</v>
      </c>
    </row>
    <row r="142" spans="3:4" x14ac:dyDescent="0.3">
      <c r="C142" t="s">
        <v>24</v>
      </c>
      <c r="D142">
        <v>1</v>
      </c>
    </row>
    <row r="143" spans="3:4" x14ac:dyDescent="0.3">
      <c r="C143" t="s">
        <v>24</v>
      </c>
      <c r="D143">
        <v>1</v>
      </c>
    </row>
    <row r="144" spans="3:4" x14ac:dyDescent="0.3">
      <c r="C144" t="s">
        <v>24</v>
      </c>
      <c r="D144">
        <v>1</v>
      </c>
    </row>
    <row r="145" spans="3:4" x14ac:dyDescent="0.3">
      <c r="C145" t="s">
        <v>24</v>
      </c>
      <c r="D145">
        <v>1</v>
      </c>
    </row>
    <row r="146" spans="3:4" x14ac:dyDescent="0.3">
      <c r="C146" t="s">
        <v>24</v>
      </c>
      <c r="D146">
        <v>1</v>
      </c>
    </row>
    <row r="147" spans="3:4" x14ac:dyDescent="0.3">
      <c r="C147" t="s">
        <v>24</v>
      </c>
      <c r="D147">
        <v>1</v>
      </c>
    </row>
    <row r="148" spans="3:4" x14ac:dyDescent="0.3">
      <c r="C148" t="s">
        <v>24</v>
      </c>
      <c r="D148">
        <v>1</v>
      </c>
    </row>
    <row r="149" spans="3:4" x14ac:dyDescent="0.3">
      <c r="C149" t="s">
        <v>24</v>
      </c>
      <c r="D149">
        <v>1</v>
      </c>
    </row>
    <row r="150" spans="3:4" x14ac:dyDescent="0.3">
      <c r="C150" t="s">
        <v>24</v>
      </c>
      <c r="D150">
        <v>1</v>
      </c>
    </row>
    <row r="151" spans="3:4" x14ac:dyDescent="0.3">
      <c r="C151" t="s">
        <v>24</v>
      </c>
      <c r="D151">
        <v>1</v>
      </c>
    </row>
    <row r="152" spans="3:4" x14ac:dyDescent="0.3">
      <c r="C152" t="s">
        <v>24</v>
      </c>
      <c r="D152">
        <v>1</v>
      </c>
    </row>
    <row r="153" spans="3:4" x14ac:dyDescent="0.3">
      <c r="C153" t="s">
        <v>24</v>
      </c>
      <c r="D153">
        <v>1</v>
      </c>
    </row>
    <row r="154" spans="3:4" x14ac:dyDescent="0.3">
      <c r="C154" t="s">
        <v>24</v>
      </c>
      <c r="D154">
        <v>1</v>
      </c>
    </row>
    <row r="155" spans="3:4" x14ac:dyDescent="0.3">
      <c r="C155" t="s">
        <v>24</v>
      </c>
      <c r="D155">
        <v>1</v>
      </c>
    </row>
    <row r="156" spans="3:4" x14ac:dyDescent="0.3">
      <c r="C156" t="s">
        <v>24</v>
      </c>
      <c r="D156">
        <v>1</v>
      </c>
    </row>
    <row r="157" spans="3:4" x14ac:dyDescent="0.3">
      <c r="C157" t="s">
        <v>24</v>
      </c>
      <c r="D157">
        <v>1</v>
      </c>
    </row>
    <row r="158" spans="3:4" x14ac:dyDescent="0.3">
      <c r="C158" t="s">
        <v>24</v>
      </c>
      <c r="D158">
        <v>1</v>
      </c>
    </row>
    <row r="159" spans="3:4" x14ac:dyDescent="0.3">
      <c r="C159" t="s">
        <v>24</v>
      </c>
      <c r="D159">
        <v>1</v>
      </c>
    </row>
    <row r="160" spans="3:4" x14ac:dyDescent="0.3">
      <c r="C160" t="s">
        <v>24</v>
      </c>
      <c r="D160">
        <v>1</v>
      </c>
    </row>
    <row r="161" spans="3:4" x14ac:dyDescent="0.3">
      <c r="C161" t="s">
        <v>24</v>
      </c>
      <c r="D161">
        <v>1</v>
      </c>
    </row>
    <row r="162" spans="3:4" x14ac:dyDescent="0.3">
      <c r="C162" t="s">
        <v>24</v>
      </c>
      <c r="D162">
        <v>1</v>
      </c>
    </row>
    <row r="163" spans="3:4" x14ac:dyDescent="0.3">
      <c r="C163" t="s">
        <v>24</v>
      </c>
      <c r="D163">
        <v>1</v>
      </c>
    </row>
    <row r="164" spans="3:4" x14ac:dyDescent="0.3">
      <c r="C164" t="s">
        <v>24</v>
      </c>
      <c r="D164">
        <v>1</v>
      </c>
    </row>
    <row r="165" spans="3:4" x14ac:dyDescent="0.3">
      <c r="C165" t="s">
        <v>24</v>
      </c>
      <c r="D165">
        <v>1</v>
      </c>
    </row>
    <row r="166" spans="3:4" x14ac:dyDescent="0.3">
      <c r="C166" t="s">
        <v>24</v>
      </c>
      <c r="D166">
        <v>1</v>
      </c>
    </row>
    <row r="167" spans="3:4" x14ac:dyDescent="0.3">
      <c r="C167" t="s">
        <v>24</v>
      </c>
      <c r="D167">
        <v>1</v>
      </c>
    </row>
    <row r="168" spans="3:4" x14ac:dyDescent="0.3">
      <c r="C168" t="s">
        <v>24</v>
      </c>
      <c r="D168">
        <v>1</v>
      </c>
    </row>
    <row r="169" spans="3:4" x14ac:dyDescent="0.3">
      <c r="C169" t="s">
        <v>24</v>
      </c>
      <c r="D169">
        <v>1</v>
      </c>
    </row>
    <row r="170" spans="3:4" x14ac:dyDescent="0.3">
      <c r="C170" t="s">
        <v>24</v>
      </c>
      <c r="D170">
        <v>1</v>
      </c>
    </row>
    <row r="171" spans="3:4" x14ac:dyDescent="0.3">
      <c r="C171" t="s">
        <v>24</v>
      </c>
      <c r="D171">
        <v>1</v>
      </c>
    </row>
    <row r="172" spans="3:4" x14ac:dyDescent="0.3">
      <c r="C172" t="s">
        <v>24</v>
      </c>
      <c r="D172">
        <v>1</v>
      </c>
    </row>
    <row r="173" spans="3:4" x14ac:dyDescent="0.3">
      <c r="C173" t="s">
        <v>24</v>
      </c>
      <c r="D173">
        <v>1</v>
      </c>
    </row>
    <row r="174" spans="3:4" x14ac:dyDescent="0.3">
      <c r="C174" t="s">
        <v>24</v>
      </c>
      <c r="D174">
        <v>1</v>
      </c>
    </row>
    <row r="175" spans="3:4" x14ac:dyDescent="0.3">
      <c r="C175" t="s">
        <v>24</v>
      </c>
      <c r="D175">
        <v>1</v>
      </c>
    </row>
    <row r="176" spans="3:4" x14ac:dyDescent="0.3">
      <c r="C176" t="s">
        <v>24</v>
      </c>
      <c r="D176">
        <v>1</v>
      </c>
    </row>
    <row r="177" spans="3:4" x14ac:dyDescent="0.3">
      <c r="C177" t="s">
        <v>24</v>
      </c>
      <c r="D177">
        <v>1</v>
      </c>
    </row>
    <row r="178" spans="3:4" x14ac:dyDescent="0.3">
      <c r="C178" t="s">
        <v>24</v>
      </c>
      <c r="D178">
        <v>1</v>
      </c>
    </row>
    <row r="179" spans="3:4" x14ac:dyDescent="0.3">
      <c r="C179" t="s">
        <v>24</v>
      </c>
      <c r="D179">
        <v>1</v>
      </c>
    </row>
    <row r="180" spans="3:4" x14ac:dyDescent="0.3">
      <c r="C180" t="s">
        <v>24</v>
      </c>
      <c r="D180">
        <v>1</v>
      </c>
    </row>
    <row r="181" spans="3:4" x14ac:dyDescent="0.3">
      <c r="C181" t="s">
        <v>24</v>
      </c>
      <c r="D181">
        <v>1</v>
      </c>
    </row>
    <row r="182" spans="3:4" x14ac:dyDescent="0.3">
      <c r="C182" t="s">
        <v>24</v>
      </c>
      <c r="D182">
        <v>1</v>
      </c>
    </row>
    <row r="183" spans="3:4" x14ac:dyDescent="0.3">
      <c r="C183" t="s">
        <v>24</v>
      </c>
      <c r="D183">
        <v>1</v>
      </c>
    </row>
    <row r="184" spans="3:4" x14ac:dyDescent="0.3">
      <c r="C184" t="s">
        <v>24</v>
      </c>
      <c r="D184">
        <v>1</v>
      </c>
    </row>
    <row r="185" spans="3:4" x14ac:dyDescent="0.3">
      <c r="C185" t="s">
        <v>24</v>
      </c>
      <c r="D185">
        <v>1</v>
      </c>
    </row>
    <row r="186" spans="3:4" x14ac:dyDescent="0.3">
      <c r="C186" t="s">
        <v>24</v>
      </c>
      <c r="D186">
        <v>1</v>
      </c>
    </row>
    <row r="187" spans="3:4" x14ac:dyDescent="0.3">
      <c r="C187" t="s">
        <v>24</v>
      </c>
      <c r="D187">
        <v>1</v>
      </c>
    </row>
    <row r="188" spans="3:4" x14ac:dyDescent="0.3">
      <c r="C188" t="s">
        <v>24</v>
      </c>
      <c r="D188">
        <v>1</v>
      </c>
    </row>
    <row r="189" spans="3:4" x14ac:dyDescent="0.3">
      <c r="C189" t="s">
        <v>24</v>
      </c>
      <c r="D189">
        <v>1</v>
      </c>
    </row>
    <row r="190" spans="3:4" x14ac:dyDescent="0.3">
      <c r="C190" t="s">
        <v>24</v>
      </c>
      <c r="D190">
        <v>1</v>
      </c>
    </row>
    <row r="191" spans="3:4" x14ac:dyDescent="0.3">
      <c r="C191" t="s">
        <v>24</v>
      </c>
      <c r="D191">
        <v>1</v>
      </c>
    </row>
    <row r="192" spans="3:4" x14ac:dyDescent="0.3">
      <c r="C192" t="s">
        <v>24</v>
      </c>
      <c r="D192">
        <v>1</v>
      </c>
    </row>
    <row r="193" spans="3:4" x14ac:dyDescent="0.3">
      <c r="C193" t="s">
        <v>24</v>
      </c>
      <c r="D193">
        <v>1</v>
      </c>
    </row>
    <row r="194" spans="3:4" x14ac:dyDescent="0.3">
      <c r="C194" t="s">
        <v>24</v>
      </c>
      <c r="D194">
        <v>1</v>
      </c>
    </row>
    <row r="195" spans="3:4" x14ac:dyDescent="0.3">
      <c r="C195" t="s">
        <v>21</v>
      </c>
      <c r="D195">
        <v>2</v>
      </c>
    </row>
    <row r="196" spans="3:4" x14ac:dyDescent="0.3">
      <c r="C196" t="s">
        <v>21</v>
      </c>
      <c r="D196">
        <v>2</v>
      </c>
    </row>
    <row r="197" spans="3:4" x14ac:dyDescent="0.3">
      <c r="C197" t="s">
        <v>21</v>
      </c>
      <c r="D197">
        <v>2</v>
      </c>
    </row>
    <row r="198" spans="3:4" x14ac:dyDescent="0.3">
      <c r="C198" t="s">
        <v>21</v>
      </c>
      <c r="D198">
        <v>2</v>
      </c>
    </row>
    <row r="199" spans="3:4" x14ac:dyDescent="0.3">
      <c r="C199" t="s">
        <v>21</v>
      </c>
      <c r="D199">
        <v>2</v>
      </c>
    </row>
    <row r="200" spans="3:4" x14ac:dyDescent="0.3">
      <c r="C200" t="s">
        <v>21</v>
      </c>
      <c r="D200">
        <v>2</v>
      </c>
    </row>
    <row r="201" spans="3:4" x14ac:dyDescent="0.3">
      <c r="C201" t="s">
        <v>21</v>
      </c>
      <c r="D201">
        <v>2</v>
      </c>
    </row>
    <row r="202" spans="3:4" x14ac:dyDescent="0.3">
      <c r="C202" t="s">
        <v>21</v>
      </c>
      <c r="D202">
        <v>2</v>
      </c>
    </row>
    <row r="203" spans="3:4" x14ac:dyDescent="0.3">
      <c r="C203" t="s">
        <v>21</v>
      </c>
      <c r="D203">
        <v>2</v>
      </c>
    </row>
    <row r="204" spans="3:4" x14ac:dyDescent="0.3">
      <c r="C204" t="s">
        <v>21</v>
      </c>
      <c r="D204">
        <v>2</v>
      </c>
    </row>
    <row r="205" spans="3:4" x14ac:dyDescent="0.3">
      <c r="C205" t="s">
        <v>21</v>
      </c>
      <c r="D205">
        <v>2</v>
      </c>
    </row>
    <row r="206" spans="3:4" x14ac:dyDescent="0.3">
      <c r="C206" t="s">
        <v>21</v>
      </c>
      <c r="D206">
        <v>2</v>
      </c>
    </row>
    <row r="207" spans="3:4" x14ac:dyDescent="0.3">
      <c r="C207" t="s">
        <v>21</v>
      </c>
      <c r="D207">
        <v>2</v>
      </c>
    </row>
    <row r="208" spans="3:4" x14ac:dyDescent="0.3">
      <c r="C208" t="s">
        <v>21</v>
      </c>
      <c r="D208">
        <v>2</v>
      </c>
    </row>
    <row r="209" spans="3:4" x14ac:dyDescent="0.3">
      <c r="C209" t="s">
        <v>21</v>
      </c>
      <c r="D209">
        <v>2</v>
      </c>
    </row>
    <row r="210" spans="3:4" x14ac:dyDescent="0.3">
      <c r="C210" t="s">
        <v>21</v>
      </c>
      <c r="D210">
        <v>2</v>
      </c>
    </row>
    <row r="211" spans="3:4" x14ac:dyDescent="0.3">
      <c r="C211" t="s">
        <v>21</v>
      </c>
      <c r="D211">
        <v>2</v>
      </c>
    </row>
    <row r="213" spans="3:4" x14ac:dyDescent="0.3">
      <c r="C213" t="s">
        <v>47</v>
      </c>
      <c r="D213" s="3">
        <f>AVERAGE(D$3:D$211)</f>
        <v>1.0813397129186604</v>
      </c>
    </row>
    <row r="215" spans="3:4" ht="15.6" x14ac:dyDescent="0.3">
      <c r="C215" t="s">
        <v>48</v>
      </c>
      <c r="D215" s="4">
        <f>STDEV(D$3:D$211)</f>
        <v>0.27401243023796773</v>
      </c>
    </row>
    <row r="218" spans="3:4" x14ac:dyDescent="0.3">
      <c r="C218" t="s">
        <v>49</v>
      </c>
      <c r="D218">
        <f>MIN(D$3:D$211)</f>
        <v>1</v>
      </c>
    </row>
    <row r="220" spans="3:4" x14ac:dyDescent="0.3">
      <c r="C220" t="s">
        <v>50</v>
      </c>
      <c r="D220" s="3">
        <f>QUARTILE(D$3:D$211,1)</f>
        <v>1</v>
      </c>
    </row>
    <row r="222" spans="3:4" x14ac:dyDescent="0.3">
      <c r="C222" t="s">
        <v>51</v>
      </c>
      <c r="D222" s="3">
        <f>MEDIAN(D$3:D$211)</f>
        <v>1</v>
      </c>
    </row>
    <row r="224" spans="3:4" x14ac:dyDescent="0.3">
      <c r="C224" t="s">
        <v>52</v>
      </c>
      <c r="D224">
        <f>QUARTILE(D$3:D$211,3)</f>
        <v>1</v>
      </c>
    </row>
    <row r="226" spans="3:4" x14ac:dyDescent="0.3">
      <c r="C226" t="s">
        <v>53</v>
      </c>
      <c r="D226">
        <f>MAX(D$3:D$211)</f>
        <v>2</v>
      </c>
    </row>
    <row r="228" spans="3:4" x14ac:dyDescent="0.3">
      <c r="C228" t="s">
        <v>54</v>
      </c>
      <c r="D228">
        <f>D226-D218</f>
        <v>1</v>
      </c>
    </row>
    <row r="230" spans="3:4" x14ac:dyDescent="0.3">
      <c r="C230" t="s">
        <v>55</v>
      </c>
      <c r="D230">
        <f>D220-D224</f>
        <v>0</v>
      </c>
    </row>
    <row r="232" spans="3:4" x14ac:dyDescent="0.3">
      <c r="C232" t="s">
        <v>56</v>
      </c>
      <c r="D232">
        <f>MODE(D$3:D$211)</f>
        <v>1</v>
      </c>
    </row>
  </sheetData>
  <sortState xmlns:xlrd2="http://schemas.microsoft.com/office/spreadsheetml/2017/richdata2" ref="C3:C211">
    <sortCondition ref="C3:C211"/>
  </sortState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E87D9-76CE-4FA1-9EEB-63EABC824B2E}">
  <dimension ref="C1:I232"/>
  <sheetViews>
    <sheetView topLeftCell="A10" workbookViewId="0">
      <selection activeCell="F16" sqref="F16"/>
    </sheetView>
  </sheetViews>
  <sheetFormatPr defaultRowHeight="14.4" x14ac:dyDescent="0.3"/>
  <cols>
    <col min="3" max="3" width="13.33203125" customWidth="1"/>
    <col min="8" max="8" width="18.44140625" customWidth="1"/>
  </cols>
  <sheetData>
    <row r="1" spans="3:9" x14ac:dyDescent="0.3">
      <c r="C1">
        <v>7</v>
      </c>
    </row>
    <row r="2" spans="3:9" x14ac:dyDescent="0.3">
      <c r="C2" t="s">
        <v>6</v>
      </c>
      <c r="H2" t="s">
        <v>58</v>
      </c>
      <c r="I2" t="s">
        <v>109</v>
      </c>
    </row>
    <row r="3" spans="3:9" x14ac:dyDescent="0.3">
      <c r="C3" t="s">
        <v>24</v>
      </c>
      <c r="D3">
        <v>1</v>
      </c>
      <c r="H3" t="s">
        <v>60</v>
      </c>
      <c r="I3" t="s">
        <v>61</v>
      </c>
    </row>
    <row r="4" spans="3:9" x14ac:dyDescent="0.3">
      <c r="C4" t="s">
        <v>24</v>
      </c>
      <c r="D4">
        <v>1</v>
      </c>
    </row>
    <row r="5" spans="3:9" x14ac:dyDescent="0.3">
      <c r="C5" t="s">
        <v>24</v>
      </c>
      <c r="D5">
        <v>1</v>
      </c>
      <c r="H5" t="s">
        <v>92</v>
      </c>
    </row>
    <row r="6" spans="3:9" x14ac:dyDescent="0.3">
      <c r="C6" t="s">
        <v>24</v>
      </c>
      <c r="D6">
        <v>1</v>
      </c>
      <c r="H6" t="s">
        <v>93</v>
      </c>
      <c r="I6" t="s">
        <v>63</v>
      </c>
    </row>
    <row r="7" spans="3:9" x14ac:dyDescent="0.3">
      <c r="C7" t="s">
        <v>24</v>
      </c>
      <c r="D7">
        <v>1</v>
      </c>
      <c r="H7" t="s">
        <v>105</v>
      </c>
      <c r="I7">
        <f>COUNT(D3:D105)</f>
        <v>103</v>
      </c>
    </row>
    <row r="8" spans="3:9" x14ac:dyDescent="0.3">
      <c r="C8" t="s">
        <v>24</v>
      </c>
      <c r="D8">
        <v>1</v>
      </c>
      <c r="H8" t="s">
        <v>179</v>
      </c>
      <c r="I8">
        <f>COUNT(D106:D211)</f>
        <v>106</v>
      </c>
    </row>
    <row r="9" spans="3:9" x14ac:dyDescent="0.3">
      <c r="C9" t="s">
        <v>24</v>
      </c>
      <c r="D9">
        <v>1</v>
      </c>
    </row>
    <row r="10" spans="3:9" x14ac:dyDescent="0.3">
      <c r="C10" t="s">
        <v>24</v>
      </c>
      <c r="D10">
        <v>1</v>
      </c>
    </row>
    <row r="11" spans="3:9" x14ac:dyDescent="0.3">
      <c r="C11" t="s">
        <v>24</v>
      </c>
      <c r="D11">
        <v>1</v>
      </c>
    </row>
    <row r="12" spans="3:9" x14ac:dyDescent="0.3">
      <c r="C12" t="s">
        <v>24</v>
      </c>
      <c r="D12">
        <v>1</v>
      </c>
    </row>
    <row r="13" spans="3:9" x14ac:dyDescent="0.3">
      <c r="C13" t="s">
        <v>24</v>
      </c>
      <c r="D13">
        <v>1</v>
      </c>
    </row>
    <row r="14" spans="3:9" x14ac:dyDescent="0.3">
      <c r="C14" t="s">
        <v>24</v>
      </c>
      <c r="D14">
        <v>1</v>
      </c>
    </row>
    <row r="15" spans="3:9" x14ac:dyDescent="0.3">
      <c r="C15" t="s">
        <v>24</v>
      </c>
      <c r="D15">
        <v>1</v>
      </c>
    </row>
    <row r="16" spans="3:9" x14ac:dyDescent="0.3">
      <c r="C16" t="s">
        <v>24</v>
      </c>
      <c r="D16">
        <v>1</v>
      </c>
    </row>
    <row r="17" spans="3:4" x14ac:dyDescent="0.3">
      <c r="C17" t="s">
        <v>24</v>
      </c>
      <c r="D17">
        <v>1</v>
      </c>
    </row>
    <row r="18" spans="3:4" x14ac:dyDescent="0.3">
      <c r="C18" t="s">
        <v>24</v>
      </c>
      <c r="D18">
        <v>1</v>
      </c>
    </row>
    <row r="19" spans="3:4" x14ac:dyDescent="0.3">
      <c r="C19" t="s">
        <v>24</v>
      </c>
      <c r="D19">
        <v>1</v>
      </c>
    </row>
    <row r="20" spans="3:4" x14ac:dyDescent="0.3">
      <c r="C20" t="s">
        <v>24</v>
      </c>
      <c r="D20">
        <v>1</v>
      </c>
    </row>
    <row r="21" spans="3:4" x14ac:dyDescent="0.3">
      <c r="C21" t="s">
        <v>24</v>
      </c>
      <c r="D21">
        <v>1</v>
      </c>
    </row>
    <row r="22" spans="3:4" x14ac:dyDescent="0.3">
      <c r="C22" t="s">
        <v>24</v>
      </c>
      <c r="D22">
        <v>1</v>
      </c>
    </row>
    <row r="23" spans="3:4" x14ac:dyDescent="0.3">
      <c r="C23" t="s">
        <v>24</v>
      </c>
      <c r="D23">
        <v>1</v>
      </c>
    </row>
    <row r="24" spans="3:4" x14ac:dyDescent="0.3">
      <c r="C24" t="s">
        <v>24</v>
      </c>
      <c r="D24">
        <v>1</v>
      </c>
    </row>
    <row r="25" spans="3:4" x14ac:dyDescent="0.3">
      <c r="C25" t="s">
        <v>24</v>
      </c>
      <c r="D25">
        <v>1</v>
      </c>
    </row>
    <row r="26" spans="3:4" x14ac:dyDescent="0.3">
      <c r="C26" t="s">
        <v>24</v>
      </c>
      <c r="D26">
        <v>1</v>
      </c>
    </row>
    <row r="27" spans="3:4" x14ac:dyDescent="0.3">
      <c r="C27" t="s">
        <v>24</v>
      </c>
      <c r="D27">
        <v>1</v>
      </c>
    </row>
    <row r="28" spans="3:4" x14ac:dyDescent="0.3">
      <c r="C28" t="s">
        <v>24</v>
      </c>
      <c r="D28">
        <v>1</v>
      </c>
    </row>
    <row r="29" spans="3:4" x14ac:dyDescent="0.3">
      <c r="C29" t="s">
        <v>24</v>
      </c>
      <c r="D29">
        <v>1</v>
      </c>
    </row>
    <row r="30" spans="3:4" x14ac:dyDescent="0.3">
      <c r="C30" t="s">
        <v>24</v>
      </c>
      <c r="D30">
        <v>1</v>
      </c>
    </row>
    <row r="31" spans="3:4" x14ac:dyDescent="0.3">
      <c r="C31" t="s">
        <v>24</v>
      </c>
      <c r="D31">
        <v>1</v>
      </c>
    </row>
    <row r="32" spans="3:4" x14ac:dyDescent="0.3">
      <c r="C32" t="s">
        <v>24</v>
      </c>
      <c r="D32">
        <v>1</v>
      </c>
    </row>
    <row r="33" spans="3:4" x14ac:dyDescent="0.3">
      <c r="C33" t="s">
        <v>24</v>
      </c>
      <c r="D33">
        <v>1</v>
      </c>
    </row>
    <row r="34" spans="3:4" x14ac:dyDescent="0.3">
      <c r="C34" t="s">
        <v>24</v>
      </c>
      <c r="D34">
        <v>1</v>
      </c>
    </row>
    <row r="35" spans="3:4" x14ac:dyDescent="0.3">
      <c r="C35" t="s">
        <v>24</v>
      </c>
      <c r="D35">
        <v>1</v>
      </c>
    </row>
    <row r="36" spans="3:4" x14ac:dyDescent="0.3">
      <c r="C36" t="s">
        <v>24</v>
      </c>
      <c r="D36">
        <v>1</v>
      </c>
    </row>
    <row r="37" spans="3:4" x14ac:dyDescent="0.3">
      <c r="C37" t="s">
        <v>24</v>
      </c>
      <c r="D37">
        <v>1</v>
      </c>
    </row>
    <row r="38" spans="3:4" x14ac:dyDescent="0.3">
      <c r="C38" t="s">
        <v>24</v>
      </c>
      <c r="D38">
        <v>1</v>
      </c>
    </row>
    <row r="39" spans="3:4" x14ac:dyDescent="0.3">
      <c r="C39" t="s">
        <v>24</v>
      </c>
      <c r="D39">
        <v>1</v>
      </c>
    </row>
    <row r="40" spans="3:4" x14ac:dyDescent="0.3">
      <c r="C40" t="s">
        <v>24</v>
      </c>
      <c r="D40">
        <v>1</v>
      </c>
    </row>
    <row r="41" spans="3:4" x14ac:dyDescent="0.3">
      <c r="C41" t="s">
        <v>24</v>
      </c>
      <c r="D41">
        <v>1</v>
      </c>
    </row>
    <row r="42" spans="3:4" x14ac:dyDescent="0.3">
      <c r="C42" t="s">
        <v>24</v>
      </c>
      <c r="D42">
        <v>1</v>
      </c>
    </row>
    <row r="43" spans="3:4" x14ac:dyDescent="0.3">
      <c r="C43" t="s">
        <v>24</v>
      </c>
      <c r="D43">
        <v>1</v>
      </c>
    </row>
    <row r="44" spans="3:4" x14ac:dyDescent="0.3">
      <c r="C44" t="s">
        <v>24</v>
      </c>
      <c r="D44">
        <v>1</v>
      </c>
    </row>
    <row r="45" spans="3:4" x14ac:dyDescent="0.3">
      <c r="C45" t="s">
        <v>24</v>
      </c>
      <c r="D45">
        <v>1</v>
      </c>
    </row>
    <row r="46" spans="3:4" x14ac:dyDescent="0.3">
      <c r="C46" t="s">
        <v>24</v>
      </c>
      <c r="D46">
        <v>1</v>
      </c>
    </row>
    <row r="47" spans="3:4" x14ac:dyDescent="0.3">
      <c r="C47" t="s">
        <v>24</v>
      </c>
      <c r="D47">
        <v>1</v>
      </c>
    </row>
    <row r="48" spans="3:4" x14ac:dyDescent="0.3">
      <c r="C48" t="s">
        <v>24</v>
      </c>
      <c r="D48">
        <v>1</v>
      </c>
    </row>
    <row r="49" spans="3:4" x14ac:dyDescent="0.3">
      <c r="C49" t="s">
        <v>24</v>
      </c>
      <c r="D49">
        <v>1</v>
      </c>
    </row>
    <row r="50" spans="3:4" x14ac:dyDescent="0.3">
      <c r="C50" t="s">
        <v>24</v>
      </c>
      <c r="D50">
        <v>1</v>
      </c>
    </row>
    <row r="51" spans="3:4" x14ac:dyDescent="0.3">
      <c r="C51" t="s">
        <v>24</v>
      </c>
      <c r="D51">
        <v>1</v>
      </c>
    </row>
    <row r="52" spans="3:4" x14ac:dyDescent="0.3">
      <c r="C52" t="s">
        <v>24</v>
      </c>
      <c r="D52">
        <v>1</v>
      </c>
    </row>
    <row r="53" spans="3:4" x14ac:dyDescent="0.3">
      <c r="C53" t="s">
        <v>24</v>
      </c>
      <c r="D53">
        <v>1</v>
      </c>
    </row>
    <row r="54" spans="3:4" x14ac:dyDescent="0.3">
      <c r="C54" t="s">
        <v>24</v>
      </c>
      <c r="D54">
        <v>1</v>
      </c>
    </row>
    <row r="55" spans="3:4" x14ac:dyDescent="0.3">
      <c r="C55" t="s">
        <v>24</v>
      </c>
      <c r="D55">
        <v>1</v>
      </c>
    </row>
    <row r="56" spans="3:4" x14ac:dyDescent="0.3">
      <c r="C56" t="s">
        <v>24</v>
      </c>
      <c r="D56">
        <v>1</v>
      </c>
    </row>
    <row r="57" spans="3:4" x14ac:dyDescent="0.3">
      <c r="C57" t="s">
        <v>24</v>
      </c>
      <c r="D57">
        <v>1</v>
      </c>
    </row>
    <row r="58" spans="3:4" x14ac:dyDescent="0.3">
      <c r="C58" t="s">
        <v>24</v>
      </c>
      <c r="D58">
        <v>1</v>
      </c>
    </row>
    <row r="59" spans="3:4" x14ac:dyDescent="0.3">
      <c r="C59" t="s">
        <v>24</v>
      </c>
      <c r="D59">
        <v>1</v>
      </c>
    </row>
    <row r="60" spans="3:4" x14ac:dyDescent="0.3">
      <c r="C60" t="s">
        <v>24</v>
      </c>
      <c r="D60">
        <v>1</v>
      </c>
    </row>
    <row r="61" spans="3:4" x14ac:dyDescent="0.3">
      <c r="C61" t="s">
        <v>24</v>
      </c>
      <c r="D61">
        <v>1</v>
      </c>
    </row>
    <row r="62" spans="3:4" x14ac:dyDescent="0.3">
      <c r="C62" t="s">
        <v>24</v>
      </c>
      <c r="D62">
        <v>1</v>
      </c>
    </row>
    <row r="63" spans="3:4" x14ac:dyDescent="0.3">
      <c r="C63" t="s">
        <v>24</v>
      </c>
      <c r="D63">
        <v>1</v>
      </c>
    </row>
    <row r="64" spans="3:4" x14ac:dyDescent="0.3">
      <c r="C64" t="s">
        <v>24</v>
      </c>
      <c r="D64">
        <v>1</v>
      </c>
    </row>
    <row r="65" spans="3:4" x14ac:dyDescent="0.3">
      <c r="C65" t="s">
        <v>24</v>
      </c>
      <c r="D65">
        <v>1</v>
      </c>
    </row>
    <row r="66" spans="3:4" x14ac:dyDescent="0.3">
      <c r="C66" t="s">
        <v>24</v>
      </c>
      <c r="D66">
        <v>1</v>
      </c>
    </row>
    <row r="67" spans="3:4" x14ac:dyDescent="0.3">
      <c r="C67" t="s">
        <v>24</v>
      </c>
      <c r="D67">
        <v>1</v>
      </c>
    </row>
    <row r="68" spans="3:4" x14ac:dyDescent="0.3">
      <c r="C68" t="s">
        <v>24</v>
      </c>
      <c r="D68">
        <v>1</v>
      </c>
    </row>
    <row r="69" spans="3:4" x14ac:dyDescent="0.3">
      <c r="C69" t="s">
        <v>24</v>
      </c>
      <c r="D69">
        <v>1</v>
      </c>
    </row>
    <row r="70" spans="3:4" x14ac:dyDescent="0.3">
      <c r="C70" t="s">
        <v>24</v>
      </c>
      <c r="D70">
        <v>1</v>
      </c>
    </row>
    <row r="71" spans="3:4" x14ac:dyDescent="0.3">
      <c r="C71" t="s">
        <v>24</v>
      </c>
      <c r="D71">
        <v>1</v>
      </c>
    </row>
    <row r="72" spans="3:4" x14ac:dyDescent="0.3">
      <c r="C72" t="s">
        <v>24</v>
      </c>
      <c r="D72">
        <v>1</v>
      </c>
    </row>
    <row r="73" spans="3:4" x14ac:dyDescent="0.3">
      <c r="C73" t="s">
        <v>24</v>
      </c>
      <c r="D73">
        <v>1</v>
      </c>
    </row>
    <row r="74" spans="3:4" x14ac:dyDescent="0.3">
      <c r="C74" t="s">
        <v>24</v>
      </c>
      <c r="D74">
        <v>1</v>
      </c>
    </row>
    <row r="75" spans="3:4" x14ac:dyDescent="0.3">
      <c r="C75" t="s">
        <v>24</v>
      </c>
      <c r="D75">
        <v>1</v>
      </c>
    </row>
    <row r="76" spans="3:4" x14ac:dyDescent="0.3">
      <c r="C76" t="s">
        <v>24</v>
      </c>
      <c r="D76">
        <v>1</v>
      </c>
    </row>
    <row r="77" spans="3:4" x14ac:dyDescent="0.3">
      <c r="C77" t="s">
        <v>24</v>
      </c>
      <c r="D77">
        <v>1</v>
      </c>
    </row>
    <row r="78" spans="3:4" x14ac:dyDescent="0.3">
      <c r="C78" t="s">
        <v>24</v>
      </c>
      <c r="D78">
        <v>1</v>
      </c>
    </row>
    <row r="79" spans="3:4" x14ac:dyDescent="0.3">
      <c r="C79" t="s">
        <v>24</v>
      </c>
      <c r="D79">
        <v>1</v>
      </c>
    </row>
    <row r="80" spans="3:4" x14ac:dyDescent="0.3">
      <c r="C80" t="s">
        <v>24</v>
      </c>
      <c r="D80">
        <v>1</v>
      </c>
    </row>
    <row r="81" spans="3:4" x14ac:dyDescent="0.3">
      <c r="C81" t="s">
        <v>24</v>
      </c>
      <c r="D81">
        <v>1</v>
      </c>
    </row>
    <row r="82" spans="3:4" x14ac:dyDescent="0.3">
      <c r="C82" t="s">
        <v>24</v>
      </c>
      <c r="D82">
        <v>1</v>
      </c>
    </row>
    <row r="83" spans="3:4" x14ac:dyDescent="0.3">
      <c r="C83" t="s">
        <v>24</v>
      </c>
      <c r="D83">
        <v>1</v>
      </c>
    </row>
    <row r="84" spans="3:4" x14ac:dyDescent="0.3">
      <c r="C84" t="s">
        <v>24</v>
      </c>
      <c r="D84">
        <v>1</v>
      </c>
    </row>
    <row r="85" spans="3:4" x14ac:dyDescent="0.3">
      <c r="C85" t="s">
        <v>24</v>
      </c>
      <c r="D85">
        <v>1</v>
      </c>
    </row>
    <row r="86" spans="3:4" x14ac:dyDescent="0.3">
      <c r="C86" t="s">
        <v>24</v>
      </c>
      <c r="D86">
        <v>1</v>
      </c>
    </row>
    <row r="87" spans="3:4" x14ac:dyDescent="0.3">
      <c r="C87" t="s">
        <v>24</v>
      </c>
      <c r="D87">
        <v>1</v>
      </c>
    </row>
    <row r="88" spans="3:4" x14ac:dyDescent="0.3">
      <c r="C88" t="s">
        <v>24</v>
      </c>
      <c r="D88">
        <v>1</v>
      </c>
    </row>
    <row r="89" spans="3:4" x14ac:dyDescent="0.3">
      <c r="C89" t="s">
        <v>24</v>
      </c>
      <c r="D89">
        <v>1</v>
      </c>
    </row>
    <row r="90" spans="3:4" x14ac:dyDescent="0.3">
      <c r="C90" t="s">
        <v>24</v>
      </c>
      <c r="D90">
        <v>1</v>
      </c>
    </row>
    <row r="91" spans="3:4" x14ac:dyDescent="0.3">
      <c r="C91" t="s">
        <v>24</v>
      </c>
      <c r="D91">
        <v>1</v>
      </c>
    </row>
    <row r="92" spans="3:4" x14ac:dyDescent="0.3">
      <c r="C92" t="s">
        <v>24</v>
      </c>
      <c r="D92">
        <v>1</v>
      </c>
    </row>
    <row r="93" spans="3:4" x14ac:dyDescent="0.3">
      <c r="C93" t="s">
        <v>24</v>
      </c>
      <c r="D93">
        <v>1</v>
      </c>
    </row>
    <row r="94" spans="3:4" x14ac:dyDescent="0.3">
      <c r="C94" t="s">
        <v>24</v>
      </c>
      <c r="D94">
        <v>1</v>
      </c>
    </row>
    <row r="95" spans="3:4" x14ac:dyDescent="0.3">
      <c r="C95" t="s">
        <v>24</v>
      </c>
      <c r="D95">
        <v>1</v>
      </c>
    </row>
    <row r="96" spans="3:4" x14ac:dyDescent="0.3">
      <c r="C96" t="s">
        <v>24</v>
      </c>
      <c r="D96">
        <v>1</v>
      </c>
    </row>
    <row r="97" spans="3:4" x14ac:dyDescent="0.3">
      <c r="C97" t="s">
        <v>24</v>
      </c>
      <c r="D97">
        <v>1</v>
      </c>
    </row>
    <row r="98" spans="3:4" x14ac:dyDescent="0.3">
      <c r="C98" t="s">
        <v>24</v>
      </c>
      <c r="D98">
        <v>1</v>
      </c>
    </row>
    <row r="99" spans="3:4" x14ac:dyDescent="0.3">
      <c r="C99" t="s">
        <v>24</v>
      </c>
      <c r="D99">
        <v>1</v>
      </c>
    </row>
    <row r="100" spans="3:4" x14ac:dyDescent="0.3">
      <c r="C100" t="s">
        <v>24</v>
      </c>
      <c r="D100">
        <v>1</v>
      </c>
    </row>
    <row r="101" spans="3:4" x14ac:dyDescent="0.3">
      <c r="C101" t="s">
        <v>24</v>
      </c>
      <c r="D101">
        <v>1</v>
      </c>
    </row>
    <row r="102" spans="3:4" x14ac:dyDescent="0.3">
      <c r="C102" t="s">
        <v>24</v>
      </c>
      <c r="D102">
        <v>1</v>
      </c>
    </row>
    <row r="103" spans="3:4" x14ac:dyDescent="0.3">
      <c r="C103" t="s">
        <v>24</v>
      </c>
      <c r="D103">
        <v>1</v>
      </c>
    </row>
    <row r="104" spans="3:4" x14ac:dyDescent="0.3">
      <c r="C104" t="s">
        <v>24</v>
      </c>
      <c r="D104">
        <v>1</v>
      </c>
    </row>
    <row r="105" spans="3:4" x14ac:dyDescent="0.3">
      <c r="C105" t="s">
        <v>24</v>
      </c>
      <c r="D105">
        <v>1</v>
      </c>
    </row>
    <row r="106" spans="3:4" x14ac:dyDescent="0.3">
      <c r="C106" t="s">
        <v>21</v>
      </c>
      <c r="D106">
        <v>2</v>
      </c>
    </row>
    <row r="107" spans="3:4" x14ac:dyDescent="0.3">
      <c r="C107" t="s">
        <v>21</v>
      </c>
      <c r="D107">
        <v>2</v>
      </c>
    </row>
    <row r="108" spans="3:4" x14ac:dyDescent="0.3">
      <c r="C108" t="s">
        <v>21</v>
      </c>
      <c r="D108">
        <v>2</v>
      </c>
    </row>
    <row r="109" spans="3:4" x14ac:dyDescent="0.3">
      <c r="C109" t="s">
        <v>21</v>
      </c>
      <c r="D109">
        <v>2</v>
      </c>
    </row>
    <row r="110" spans="3:4" x14ac:dyDescent="0.3">
      <c r="C110" t="s">
        <v>21</v>
      </c>
      <c r="D110">
        <v>2</v>
      </c>
    </row>
    <row r="111" spans="3:4" x14ac:dyDescent="0.3">
      <c r="C111" t="s">
        <v>21</v>
      </c>
      <c r="D111">
        <v>2</v>
      </c>
    </row>
    <row r="112" spans="3:4" x14ac:dyDescent="0.3">
      <c r="C112" t="s">
        <v>21</v>
      </c>
      <c r="D112">
        <v>2</v>
      </c>
    </row>
    <row r="113" spans="3:4" x14ac:dyDescent="0.3">
      <c r="C113" t="s">
        <v>21</v>
      </c>
      <c r="D113">
        <v>2</v>
      </c>
    </row>
    <row r="114" spans="3:4" x14ac:dyDescent="0.3">
      <c r="C114" t="s">
        <v>21</v>
      </c>
      <c r="D114">
        <v>2</v>
      </c>
    </row>
    <row r="115" spans="3:4" x14ac:dyDescent="0.3">
      <c r="C115" t="s">
        <v>21</v>
      </c>
      <c r="D115">
        <v>2</v>
      </c>
    </row>
    <row r="116" spans="3:4" x14ac:dyDescent="0.3">
      <c r="C116" t="s">
        <v>21</v>
      </c>
      <c r="D116">
        <v>2</v>
      </c>
    </row>
    <row r="117" spans="3:4" x14ac:dyDescent="0.3">
      <c r="C117" t="s">
        <v>21</v>
      </c>
      <c r="D117">
        <v>2</v>
      </c>
    </row>
    <row r="118" spans="3:4" x14ac:dyDescent="0.3">
      <c r="C118" t="s">
        <v>21</v>
      </c>
      <c r="D118">
        <v>2</v>
      </c>
    </row>
    <row r="119" spans="3:4" x14ac:dyDescent="0.3">
      <c r="C119" t="s">
        <v>21</v>
      </c>
      <c r="D119">
        <v>2</v>
      </c>
    </row>
    <row r="120" spans="3:4" x14ac:dyDescent="0.3">
      <c r="C120" t="s">
        <v>21</v>
      </c>
      <c r="D120">
        <v>2</v>
      </c>
    </row>
    <row r="121" spans="3:4" x14ac:dyDescent="0.3">
      <c r="C121" t="s">
        <v>21</v>
      </c>
      <c r="D121">
        <v>2</v>
      </c>
    </row>
    <row r="122" spans="3:4" x14ac:dyDescent="0.3">
      <c r="C122" t="s">
        <v>21</v>
      </c>
      <c r="D122">
        <v>2</v>
      </c>
    </row>
    <row r="123" spans="3:4" x14ac:dyDescent="0.3">
      <c r="C123" t="s">
        <v>21</v>
      </c>
      <c r="D123">
        <v>2</v>
      </c>
    </row>
    <row r="124" spans="3:4" x14ac:dyDescent="0.3">
      <c r="C124" t="s">
        <v>21</v>
      </c>
      <c r="D124">
        <v>2</v>
      </c>
    </row>
    <row r="125" spans="3:4" x14ac:dyDescent="0.3">
      <c r="C125" t="s">
        <v>21</v>
      </c>
      <c r="D125">
        <v>2</v>
      </c>
    </row>
    <row r="126" spans="3:4" x14ac:dyDescent="0.3">
      <c r="C126" t="s">
        <v>21</v>
      </c>
      <c r="D126">
        <v>2</v>
      </c>
    </row>
    <row r="127" spans="3:4" x14ac:dyDescent="0.3">
      <c r="C127" t="s">
        <v>21</v>
      </c>
      <c r="D127">
        <v>2</v>
      </c>
    </row>
    <row r="128" spans="3:4" x14ac:dyDescent="0.3">
      <c r="C128" t="s">
        <v>21</v>
      </c>
      <c r="D128">
        <v>2</v>
      </c>
    </row>
    <row r="129" spans="3:4" x14ac:dyDescent="0.3">
      <c r="C129" t="s">
        <v>21</v>
      </c>
      <c r="D129">
        <v>2</v>
      </c>
    </row>
    <row r="130" spans="3:4" x14ac:dyDescent="0.3">
      <c r="C130" t="s">
        <v>21</v>
      </c>
      <c r="D130">
        <v>2</v>
      </c>
    </row>
    <row r="131" spans="3:4" x14ac:dyDescent="0.3">
      <c r="C131" t="s">
        <v>21</v>
      </c>
      <c r="D131">
        <v>2</v>
      </c>
    </row>
    <row r="132" spans="3:4" x14ac:dyDescent="0.3">
      <c r="C132" t="s">
        <v>21</v>
      </c>
      <c r="D132">
        <v>2</v>
      </c>
    </row>
    <row r="133" spans="3:4" x14ac:dyDescent="0.3">
      <c r="C133" t="s">
        <v>21</v>
      </c>
      <c r="D133">
        <v>2</v>
      </c>
    </row>
    <row r="134" spans="3:4" x14ac:dyDescent="0.3">
      <c r="C134" t="s">
        <v>21</v>
      </c>
      <c r="D134">
        <v>2</v>
      </c>
    </row>
    <row r="135" spans="3:4" x14ac:dyDescent="0.3">
      <c r="C135" t="s">
        <v>21</v>
      </c>
      <c r="D135">
        <v>2</v>
      </c>
    </row>
    <row r="136" spans="3:4" x14ac:dyDescent="0.3">
      <c r="C136" t="s">
        <v>21</v>
      </c>
      <c r="D136">
        <v>2</v>
      </c>
    </row>
    <row r="137" spans="3:4" x14ac:dyDescent="0.3">
      <c r="C137" t="s">
        <v>21</v>
      </c>
      <c r="D137">
        <v>2</v>
      </c>
    </row>
    <row r="138" spans="3:4" x14ac:dyDescent="0.3">
      <c r="C138" t="s">
        <v>21</v>
      </c>
      <c r="D138">
        <v>2</v>
      </c>
    </row>
    <row r="139" spans="3:4" x14ac:dyDescent="0.3">
      <c r="C139" t="s">
        <v>21</v>
      </c>
      <c r="D139">
        <v>2</v>
      </c>
    </row>
    <row r="140" spans="3:4" x14ac:dyDescent="0.3">
      <c r="C140" t="s">
        <v>21</v>
      </c>
      <c r="D140">
        <v>2</v>
      </c>
    </row>
    <row r="141" spans="3:4" x14ac:dyDescent="0.3">
      <c r="C141" t="s">
        <v>21</v>
      </c>
      <c r="D141">
        <v>2</v>
      </c>
    </row>
    <row r="142" spans="3:4" x14ac:dyDescent="0.3">
      <c r="C142" t="s">
        <v>21</v>
      </c>
      <c r="D142">
        <v>2</v>
      </c>
    </row>
    <row r="143" spans="3:4" x14ac:dyDescent="0.3">
      <c r="C143" t="s">
        <v>21</v>
      </c>
      <c r="D143">
        <v>2</v>
      </c>
    </row>
    <row r="144" spans="3:4" x14ac:dyDescent="0.3">
      <c r="C144" t="s">
        <v>21</v>
      </c>
      <c r="D144">
        <v>2</v>
      </c>
    </row>
    <row r="145" spans="3:4" x14ac:dyDescent="0.3">
      <c r="C145" t="s">
        <v>21</v>
      </c>
      <c r="D145">
        <v>2</v>
      </c>
    </row>
    <row r="146" spans="3:4" x14ac:dyDescent="0.3">
      <c r="C146" t="s">
        <v>21</v>
      </c>
      <c r="D146">
        <v>2</v>
      </c>
    </row>
    <row r="147" spans="3:4" x14ac:dyDescent="0.3">
      <c r="C147" t="s">
        <v>21</v>
      </c>
      <c r="D147">
        <v>2</v>
      </c>
    </row>
    <row r="148" spans="3:4" x14ac:dyDescent="0.3">
      <c r="C148" t="s">
        <v>21</v>
      </c>
      <c r="D148">
        <v>2</v>
      </c>
    </row>
    <row r="149" spans="3:4" x14ac:dyDescent="0.3">
      <c r="C149" t="s">
        <v>21</v>
      </c>
      <c r="D149">
        <v>2</v>
      </c>
    </row>
    <row r="150" spans="3:4" x14ac:dyDescent="0.3">
      <c r="C150" t="s">
        <v>21</v>
      </c>
      <c r="D150">
        <v>2</v>
      </c>
    </row>
    <row r="151" spans="3:4" x14ac:dyDescent="0.3">
      <c r="C151" t="s">
        <v>21</v>
      </c>
      <c r="D151">
        <v>2</v>
      </c>
    </row>
    <row r="152" spans="3:4" x14ac:dyDescent="0.3">
      <c r="C152" t="s">
        <v>21</v>
      </c>
      <c r="D152">
        <v>2</v>
      </c>
    </row>
    <row r="153" spans="3:4" x14ac:dyDescent="0.3">
      <c r="C153" t="s">
        <v>21</v>
      </c>
      <c r="D153">
        <v>2</v>
      </c>
    </row>
    <row r="154" spans="3:4" x14ac:dyDescent="0.3">
      <c r="C154" t="s">
        <v>21</v>
      </c>
      <c r="D154">
        <v>2</v>
      </c>
    </row>
    <row r="155" spans="3:4" x14ac:dyDescent="0.3">
      <c r="C155" t="s">
        <v>21</v>
      </c>
      <c r="D155">
        <v>2</v>
      </c>
    </row>
    <row r="156" spans="3:4" x14ac:dyDescent="0.3">
      <c r="C156" t="s">
        <v>21</v>
      </c>
      <c r="D156">
        <v>2</v>
      </c>
    </row>
    <row r="157" spans="3:4" x14ac:dyDescent="0.3">
      <c r="C157" t="s">
        <v>21</v>
      </c>
      <c r="D157">
        <v>2</v>
      </c>
    </row>
    <row r="158" spans="3:4" x14ac:dyDescent="0.3">
      <c r="C158" t="s">
        <v>21</v>
      </c>
      <c r="D158">
        <v>2</v>
      </c>
    </row>
    <row r="159" spans="3:4" x14ac:dyDescent="0.3">
      <c r="C159" t="s">
        <v>21</v>
      </c>
      <c r="D159">
        <v>2</v>
      </c>
    </row>
    <row r="160" spans="3:4" x14ac:dyDescent="0.3">
      <c r="C160" t="s">
        <v>21</v>
      </c>
      <c r="D160">
        <v>2</v>
      </c>
    </row>
    <row r="161" spans="3:4" x14ac:dyDescent="0.3">
      <c r="C161" t="s">
        <v>21</v>
      </c>
      <c r="D161">
        <v>2</v>
      </c>
    </row>
    <row r="162" spans="3:4" x14ac:dyDescent="0.3">
      <c r="C162" t="s">
        <v>21</v>
      </c>
      <c r="D162">
        <v>2</v>
      </c>
    </row>
    <row r="163" spans="3:4" x14ac:dyDescent="0.3">
      <c r="C163" t="s">
        <v>21</v>
      </c>
      <c r="D163">
        <v>2</v>
      </c>
    </row>
    <row r="164" spans="3:4" x14ac:dyDescent="0.3">
      <c r="C164" t="s">
        <v>21</v>
      </c>
      <c r="D164">
        <v>2</v>
      </c>
    </row>
    <row r="165" spans="3:4" x14ac:dyDescent="0.3">
      <c r="C165" t="s">
        <v>21</v>
      </c>
      <c r="D165">
        <v>2</v>
      </c>
    </row>
    <row r="166" spans="3:4" x14ac:dyDescent="0.3">
      <c r="C166" t="s">
        <v>21</v>
      </c>
      <c r="D166">
        <v>2</v>
      </c>
    </row>
    <row r="167" spans="3:4" x14ac:dyDescent="0.3">
      <c r="C167" t="s">
        <v>21</v>
      </c>
      <c r="D167">
        <v>2</v>
      </c>
    </row>
    <row r="168" spans="3:4" x14ac:dyDescent="0.3">
      <c r="C168" t="s">
        <v>21</v>
      </c>
      <c r="D168">
        <v>2</v>
      </c>
    </row>
    <row r="169" spans="3:4" x14ac:dyDescent="0.3">
      <c r="C169" t="s">
        <v>21</v>
      </c>
      <c r="D169">
        <v>2</v>
      </c>
    </row>
    <row r="170" spans="3:4" x14ac:dyDescent="0.3">
      <c r="C170" t="s">
        <v>21</v>
      </c>
      <c r="D170">
        <v>2</v>
      </c>
    </row>
    <row r="171" spans="3:4" x14ac:dyDescent="0.3">
      <c r="C171" t="s">
        <v>21</v>
      </c>
      <c r="D171">
        <v>2</v>
      </c>
    </row>
    <row r="172" spans="3:4" x14ac:dyDescent="0.3">
      <c r="C172" t="s">
        <v>21</v>
      </c>
      <c r="D172">
        <v>2</v>
      </c>
    </row>
    <row r="173" spans="3:4" x14ac:dyDescent="0.3">
      <c r="C173" t="s">
        <v>21</v>
      </c>
      <c r="D173">
        <v>2</v>
      </c>
    </row>
    <row r="174" spans="3:4" x14ac:dyDescent="0.3">
      <c r="C174" t="s">
        <v>21</v>
      </c>
      <c r="D174">
        <v>2</v>
      </c>
    </row>
    <row r="175" spans="3:4" x14ac:dyDescent="0.3">
      <c r="C175" t="s">
        <v>21</v>
      </c>
      <c r="D175">
        <v>2</v>
      </c>
    </row>
    <row r="176" spans="3:4" x14ac:dyDescent="0.3">
      <c r="C176" t="s">
        <v>21</v>
      </c>
      <c r="D176">
        <v>2</v>
      </c>
    </row>
    <row r="177" spans="3:4" x14ac:dyDescent="0.3">
      <c r="C177" t="s">
        <v>21</v>
      </c>
      <c r="D177">
        <v>2</v>
      </c>
    </row>
    <row r="178" spans="3:4" x14ac:dyDescent="0.3">
      <c r="C178" t="s">
        <v>21</v>
      </c>
      <c r="D178">
        <v>2</v>
      </c>
    </row>
    <row r="179" spans="3:4" x14ac:dyDescent="0.3">
      <c r="C179" t="s">
        <v>21</v>
      </c>
      <c r="D179">
        <v>2</v>
      </c>
    </row>
    <row r="180" spans="3:4" x14ac:dyDescent="0.3">
      <c r="C180" t="s">
        <v>21</v>
      </c>
      <c r="D180">
        <v>2</v>
      </c>
    </row>
    <row r="181" spans="3:4" x14ac:dyDescent="0.3">
      <c r="C181" t="s">
        <v>21</v>
      </c>
      <c r="D181">
        <v>2</v>
      </c>
    </row>
    <row r="182" spans="3:4" x14ac:dyDescent="0.3">
      <c r="C182" t="s">
        <v>21</v>
      </c>
      <c r="D182">
        <v>2</v>
      </c>
    </row>
    <row r="183" spans="3:4" x14ac:dyDescent="0.3">
      <c r="C183" t="s">
        <v>21</v>
      </c>
      <c r="D183">
        <v>2</v>
      </c>
    </row>
    <row r="184" spans="3:4" x14ac:dyDescent="0.3">
      <c r="C184" t="s">
        <v>21</v>
      </c>
      <c r="D184">
        <v>2</v>
      </c>
    </row>
    <row r="185" spans="3:4" x14ac:dyDescent="0.3">
      <c r="C185" t="s">
        <v>21</v>
      </c>
      <c r="D185">
        <v>2</v>
      </c>
    </row>
    <row r="186" spans="3:4" x14ac:dyDescent="0.3">
      <c r="C186" t="s">
        <v>21</v>
      </c>
      <c r="D186">
        <v>2</v>
      </c>
    </row>
    <row r="187" spans="3:4" x14ac:dyDescent="0.3">
      <c r="C187" t="s">
        <v>21</v>
      </c>
      <c r="D187">
        <v>2</v>
      </c>
    </row>
    <row r="188" spans="3:4" x14ac:dyDescent="0.3">
      <c r="C188" t="s">
        <v>21</v>
      </c>
      <c r="D188">
        <v>2</v>
      </c>
    </row>
    <row r="189" spans="3:4" x14ac:dyDescent="0.3">
      <c r="C189" t="s">
        <v>21</v>
      </c>
      <c r="D189">
        <v>2</v>
      </c>
    </row>
    <row r="190" spans="3:4" x14ac:dyDescent="0.3">
      <c r="C190" t="s">
        <v>21</v>
      </c>
      <c r="D190">
        <v>2</v>
      </c>
    </row>
    <row r="191" spans="3:4" x14ac:dyDescent="0.3">
      <c r="C191" t="s">
        <v>21</v>
      </c>
      <c r="D191">
        <v>2</v>
      </c>
    </row>
    <row r="192" spans="3:4" x14ac:dyDescent="0.3">
      <c r="C192" t="s">
        <v>21</v>
      </c>
      <c r="D192">
        <v>2</v>
      </c>
    </row>
    <row r="193" spans="3:4" x14ac:dyDescent="0.3">
      <c r="C193" t="s">
        <v>21</v>
      </c>
      <c r="D193">
        <v>2</v>
      </c>
    </row>
    <row r="194" spans="3:4" x14ac:dyDescent="0.3">
      <c r="C194" t="s">
        <v>21</v>
      </c>
      <c r="D194">
        <v>2</v>
      </c>
    </row>
    <row r="195" spans="3:4" x14ac:dyDescent="0.3">
      <c r="C195" t="s">
        <v>21</v>
      </c>
      <c r="D195">
        <v>2</v>
      </c>
    </row>
    <row r="196" spans="3:4" x14ac:dyDescent="0.3">
      <c r="C196" t="s">
        <v>21</v>
      </c>
      <c r="D196">
        <v>2</v>
      </c>
    </row>
    <row r="197" spans="3:4" x14ac:dyDescent="0.3">
      <c r="C197" t="s">
        <v>21</v>
      </c>
      <c r="D197">
        <v>2</v>
      </c>
    </row>
    <row r="198" spans="3:4" x14ac:dyDescent="0.3">
      <c r="C198" t="s">
        <v>21</v>
      </c>
      <c r="D198">
        <v>2</v>
      </c>
    </row>
    <row r="199" spans="3:4" x14ac:dyDescent="0.3">
      <c r="C199" t="s">
        <v>21</v>
      </c>
      <c r="D199">
        <v>2</v>
      </c>
    </row>
    <row r="200" spans="3:4" x14ac:dyDescent="0.3">
      <c r="C200" t="s">
        <v>21</v>
      </c>
      <c r="D200">
        <v>2</v>
      </c>
    </row>
    <row r="201" spans="3:4" x14ac:dyDescent="0.3">
      <c r="C201" t="s">
        <v>21</v>
      </c>
      <c r="D201">
        <v>2</v>
      </c>
    </row>
    <row r="202" spans="3:4" x14ac:dyDescent="0.3">
      <c r="C202" t="s">
        <v>21</v>
      </c>
      <c r="D202">
        <v>2</v>
      </c>
    </row>
    <row r="203" spans="3:4" x14ac:dyDescent="0.3">
      <c r="C203" t="s">
        <v>21</v>
      </c>
      <c r="D203">
        <v>2</v>
      </c>
    </row>
    <row r="204" spans="3:4" x14ac:dyDescent="0.3">
      <c r="C204" t="s">
        <v>21</v>
      </c>
      <c r="D204">
        <v>2</v>
      </c>
    </row>
    <row r="205" spans="3:4" x14ac:dyDescent="0.3">
      <c r="C205" t="s">
        <v>21</v>
      </c>
      <c r="D205">
        <v>2</v>
      </c>
    </row>
    <row r="206" spans="3:4" x14ac:dyDescent="0.3">
      <c r="C206" t="s">
        <v>21</v>
      </c>
      <c r="D206">
        <v>2</v>
      </c>
    </row>
    <row r="207" spans="3:4" x14ac:dyDescent="0.3">
      <c r="C207" t="s">
        <v>21</v>
      </c>
      <c r="D207">
        <v>2</v>
      </c>
    </row>
    <row r="208" spans="3:4" x14ac:dyDescent="0.3">
      <c r="C208" t="s">
        <v>21</v>
      </c>
      <c r="D208">
        <v>2</v>
      </c>
    </row>
    <row r="209" spans="3:4" x14ac:dyDescent="0.3">
      <c r="C209" t="s">
        <v>21</v>
      </c>
      <c r="D209">
        <v>2</v>
      </c>
    </row>
    <row r="210" spans="3:4" x14ac:dyDescent="0.3">
      <c r="C210" t="s">
        <v>21</v>
      </c>
      <c r="D210">
        <v>2</v>
      </c>
    </row>
    <row r="211" spans="3:4" x14ac:dyDescent="0.3">
      <c r="C211" t="s">
        <v>21</v>
      </c>
      <c r="D211">
        <v>2</v>
      </c>
    </row>
    <row r="213" spans="3:4" x14ac:dyDescent="0.3">
      <c r="C213" t="s">
        <v>47</v>
      </c>
      <c r="D213" s="3">
        <f>AVERAGE(D$3:D$211)</f>
        <v>1.5071770334928229</v>
      </c>
    </row>
    <row r="215" spans="3:4" ht="15.6" x14ac:dyDescent="0.3">
      <c r="C215" t="s">
        <v>48</v>
      </c>
      <c r="D215" s="4">
        <f>STDEV(D$3:D$211)</f>
        <v>0.50114884577722996</v>
      </c>
    </row>
    <row r="218" spans="3:4" x14ac:dyDescent="0.3">
      <c r="C218" t="s">
        <v>49</v>
      </c>
      <c r="D218">
        <f>MIN(D$3:D$211)</f>
        <v>1</v>
      </c>
    </row>
    <row r="220" spans="3:4" x14ac:dyDescent="0.3">
      <c r="C220" t="s">
        <v>50</v>
      </c>
      <c r="D220" s="3">
        <f>QUARTILE(D$3:D$211,1)</f>
        <v>1</v>
      </c>
    </row>
    <row r="222" spans="3:4" x14ac:dyDescent="0.3">
      <c r="C222" t="s">
        <v>51</v>
      </c>
      <c r="D222" s="3">
        <f>MEDIAN(D$3:D$211)</f>
        <v>2</v>
      </c>
    </row>
    <row r="224" spans="3:4" x14ac:dyDescent="0.3">
      <c r="C224" t="s">
        <v>52</v>
      </c>
      <c r="D224">
        <f>QUARTILE(D$3:D$211,3)</f>
        <v>2</v>
      </c>
    </row>
    <row r="226" spans="3:4" x14ac:dyDescent="0.3">
      <c r="C226" t="s">
        <v>53</v>
      </c>
      <c r="D226">
        <f>MAX(D$3:D$211)</f>
        <v>2</v>
      </c>
    </row>
    <row r="228" spans="3:4" x14ac:dyDescent="0.3">
      <c r="C228" t="s">
        <v>54</v>
      </c>
      <c r="D228">
        <f>D226-D218</f>
        <v>1</v>
      </c>
    </row>
    <row r="230" spans="3:4" x14ac:dyDescent="0.3">
      <c r="C230" t="s">
        <v>55</v>
      </c>
      <c r="D230">
        <f>D220-D224</f>
        <v>-1</v>
      </c>
    </row>
    <row r="232" spans="3:4" x14ac:dyDescent="0.3">
      <c r="C232" t="s">
        <v>56</v>
      </c>
      <c r="D232">
        <f>MODE(D$3:D$211)</f>
        <v>2</v>
      </c>
    </row>
  </sheetData>
  <sortState xmlns:xlrd2="http://schemas.microsoft.com/office/spreadsheetml/2017/richdata2" ref="C3:C211">
    <sortCondition ref="C3:C211"/>
  </sortState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C347F-F696-4E2E-B590-2E90D2414AB3}">
  <dimension ref="C1:I233"/>
  <sheetViews>
    <sheetView topLeftCell="A215" workbookViewId="0">
      <selection activeCell="C214" sqref="C214:D233"/>
    </sheetView>
  </sheetViews>
  <sheetFormatPr defaultRowHeight="14.4" x14ac:dyDescent="0.3"/>
  <cols>
    <col min="8" max="8" width="18.5546875" customWidth="1"/>
    <col min="9" max="9" width="13.6640625" customWidth="1"/>
  </cols>
  <sheetData>
    <row r="1" spans="3:9" x14ac:dyDescent="0.3">
      <c r="C1">
        <v>8</v>
      </c>
    </row>
    <row r="2" spans="3:9" x14ac:dyDescent="0.3">
      <c r="C2" t="s">
        <v>7</v>
      </c>
      <c r="H2" t="s">
        <v>58</v>
      </c>
      <c r="I2" t="s">
        <v>110</v>
      </c>
    </row>
    <row r="3" spans="3:9" x14ac:dyDescent="0.3">
      <c r="C3" t="s">
        <v>24</v>
      </c>
      <c r="D3">
        <v>1</v>
      </c>
      <c r="H3" t="s">
        <v>60</v>
      </c>
      <c r="I3" t="s">
        <v>61</v>
      </c>
    </row>
    <row r="4" spans="3:9" x14ac:dyDescent="0.3">
      <c r="C4" t="s">
        <v>24</v>
      </c>
      <c r="D4">
        <v>1</v>
      </c>
    </row>
    <row r="5" spans="3:9" x14ac:dyDescent="0.3">
      <c r="C5" t="s">
        <v>24</v>
      </c>
      <c r="D5">
        <v>1</v>
      </c>
      <c r="H5" t="s">
        <v>92</v>
      </c>
    </row>
    <row r="6" spans="3:9" x14ac:dyDescent="0.3">
      <c r="C6" t="s">
        <v>24</v>
      </c>
      <c r="D6">
        <v>1</v>
      </c>
      <c r="H6" t="s">
        <v>93</v>
      </c>
      <c r="I6" t="s">
        <v>63</v>
      </c>
    </row>
    <row r="7" spans="3:9" x14ac:dyDescent="0.3">
      <c r="C7" t="s">
        <v>24</v>
      </c>
      <c r="D7">
        <v>1</v>
      </c>
      <c r="H7" t="s">
        <v>101</v>
      </c>
      <c r="I7">
        <f>COUNT(D3:D150)</f>
        <v>148</v>
      </c>
    </row>
    <row r="8" spans="3:9" x14ac:dyDescent="0.3">
      <c r="C8" t="s">
        <v>24</v>
      </c>
      <c r="D8">
        <v>1</v>
      </c>
      <c r="H8" t="s">
        <v>102</v>
      </c>
      <c r="I8">
        <f>COUNT(D151:D211)</f>
        <v>61</v>
      </c>
    </row>
    <row r="9" spans="3:9" x14ac:dyDescent="0.3">
      <c r="C9" t="s">
        <v>24</v>
      </c>
      <c r="D9">
        <v>1</v>
      </c>
    </row>
    <row r="10" spans="3:9" x14ac:dyDescent="0.3">
      <c r="C10" t="s">
        <v>24</v>
      </c>
      <c r="D10">
        <v>1</v>
      </c>
    </row>
    <row r="11" spans="3:9" x14ac:dyDescent="0.3">
      <c r="C11" t="s">
        <v>24</v>
      </c>
      <c r="D11">
        <v>1</v>
      </c>
    </row>
    <row r="12" spans="3:9" x14ac:dyDescent="0.3">
      <c r="C12" t="s">
        <v>24</v>
      </c>
      <c r="D12">
        <v>1</v>
      </c>
    </row>
    <row r="13" spans="3:9" x14ac:dyDescent="0.3">
      <c r="C13" t="s">
        <v>24</v>
      </c>
      <c r="D13">
        <v>1</v>
      </c>
    </row>
    <row r="14" spans="3:9" x14ac:dyDescent="0.3">
      <c r="C14" t="s">
        <v>24</v>
      </c>
      <c r="D14">
        <v>1</v>
      </c>
    </row>
    <row r="15" spans="3:9" x14ac:dyDescent="0.3">
      <c r="C15" t="s">
        <v>24</v>
      </c>
      <c r="D15">
        <v>1</v>
      </c>
    </row>
    <row r="16" spans="3:9" x14ac:dyDescent="0.3">
      <c r="C16" t="s">
        <v>24</v>
      </c>
      <c r="D16">
        <v>1</v>
      </c>
    </row>
    <row r="17" spans="3:4" x14ac:dyDescent="0.3">
      <c r="C17" t="s">
        <v>24</v>
      </c>
      <c r="D17">
        <v>1</v>
      </c>
    </row>
    <row r="18" spans="3:4" x14ac:dyDescent="0.3">
      <c r="C18" t="s">
        <v>24</v>
      </c>
      <c r="D18">
        <v>1</v>
      </c>
    </row>
    <row r="19" spans="3:4" x14ac:dyDescent="0.3">
      <c r="C19" t="s">
        <v>24</v>
      </c>
      <c r="D19">
        <v>1</v>
      </c>
    </row>
    <row r="20" spans="3:4" x14ac:dyDescent="0.3">
      <c r="C20" t="s">
        <v>24</v>
      </c>
      <c r="D20">
        <v>1</v>
      </c>
    </row>
    <row r="21" spans="3:4" x14ac:dyDescent="0.3">
      <c r="C21" t="s">
        <v>24</v>
      </c>
      <c r="D21">
        <v>1</v>
      </c>
    </row>
    <row r="22" spans="3:4" x14ac:dyDescent="0.3">
      <c r="C22" t="s">
        <v>24</v>
      </c>
      <c r="D22">
        <v>1</v>
      </c>
    </row>
    <row r="23" spans="3:4" x14ac:dyDescent="0.3">
      <c r="C23" t="s">
        <v>24</v>
      </c>
      <c r="D23">
        <v>1</v>
      </c>
    </row>
    <row r="24" spans="3:4" x14ac:dyDescent="0.3">
      <c r="C24" t="s">
        <v>24</v>
      </c>
      <c r="D24">
        <v>1</v>
      </c>
    </row>
    <row r="25" spans="3:4" x14ac:dyDescent="0.3">
      <c r="C25" t="s">
        <v>24</v>
      </c>
      <c r="D25">
        <v>1</v>
      </c>
    </row>
    <row r="26" spans="3:4" x14ac:dyDescent="0.3">
      <c r="C26" t="s">
        <v>24</v>
      </c>
      <c r="D26">
        <v>1</v>
      </c>
    </row>
    <row r="27" spans="3:4" x14ac:dyDescent="0.3">
      <c r="C27" t="s">
        <v>24</v>
      </c>
      <c r="D27">
        <v>1</v>
      </c>
    </row>
    <row r="28" spans="3:4" x14ac:dyDescent="0.3">
      <c r="C28" t="s">
        <v>24</v>
      </c>
      <c r="D28">
        <v>1</v>
      </c>
    </row>
    <row r="29" spans="3:4" x14ac:dyDescent="0.3">
      <c r="C29" t="s">
        <v>24</v>
      </c>
      <c r="D29">
        <v>1</v>
      </c>
    </row>
    <row r="30" spans="3:4" x14ac:dyDescent="0.3">
      <c r="C30" t="s">
        <v>24</v>
      </c>
      <c r="D30">
        <v>1</v>
      </c>
    </row>
    <row r="31" spans="3:4" x14ac:dyDescent="0.3">
      <c r="C31" t="s">
        <v>24</v>
      </c>
      <c r="D31">
        <v>1</v>
      </c>
    </row>
    <row r="32" spans="3:4" x14ac:dyDescent="0.3">
      <c r="C32" t="s">
        <v>24</v>
      </c>
      <c r="D32">
        <v>1</v>
      </c>
    </row>
    <row r="33" spans="3:4" x14ac:dyDescent="0.3">
      <c r="C33" t="s">
        <v>24</v>
      </c>
      <c r="D33">
        <v>1</v>
      </c>
    </row>
    <row r="34" spans="3:4" x14ac:dyDescent="0.3">
      <c r="C34" t="s">
        <v>24</v>
      </c>
      <c r="D34">
        <v>1</v>
      </c>
    </row>
    <row r="35" spans="3:4" x14ac:dyDescent="0.3">
      <c r="C35" t="s">
        <v>24</v>
      </c>
      <c r="D35">
        <v>1</v>
      </c>
    </row>
    <row r="36" spans="3:4" x14ac:dyDescent="0.3">
      <c r="C36" t="s">
        <v>24</v>
      </c>
      <c r="D36">
        <v>1</v>
      </c>
    </row>
    <row r="37" spans="3:4" x14ac:dyDescent="0.3">
      <c r="C37" t="s">
        <v>24</v>
      </c>
      <c r="D37">
        <v>1</v>
      </c>
    </row>
    <row r="38" spans="3:4" x14ac:dyDescent="0.3">
      <c r="C38" t="s">
        <v>24</v>
      </c>
      <c r="D38">
        <v>1</v>
      </c>
    </row>
    <row r="39" spans="3:4" x14ac:dyDescent="0.3">
      <c r="C39" t="s">
        <v>24</v>
      </c>
      <c r="D39">
        <v>1</v>
      </c>
    </row>
    <row r="40" spans="3:4" x14ac:dyDescent="0.3">
      <c r="C40" t="s">
        <v>24</v>
      </c>
      <c r="D40">
        <v>1</v>
      </c>
    </row>
    <row r="41" spans="3:4" x14ac:dyDescent="0.3">
      <c r="C41" t="s">
        <v>24</v>
      </c>
      <c r="D41">
        <v>1</v>
      </c>
    </row>
    <row r="42" spans="3:4" x14ac:dyDescent="0.3">
      <c r="C42" t="s">
        <v>24</v>
      </c>
      <c r="D42">
        <v>1</v>
      </c>
    </row>
    <row r="43" spans="3:4" x14ac:dyDescent="0.3">
      <c r="C43" t="s">
        <v>24</v>
      </c>
      <c r="D43">
        <v>1</v>
      </c>
    </row>
    <row r="44" spans="3:4" x14ac:dyDescent="0.3">
      <c r="C44" t="s">
        <v>24</v>
      </c>
      <c r="D44">
        <v>1</v>
      </c>
    </row>
    <row r="45" spans="3:4" x14ac:dyDescent="0.3">
      <c r="C45" t="s">
        <v>24</v>
      </c>
      <c r="D45">
        <v>1</v>
      </c>
    </row>
    <row r="46" spans="3:4" x14ac:dyDescent="0.3">
      <c r="C46" t="s">
        <v>24</v>
      </c>
      <c r="D46">
        <v>1</v>
      </c>
    </row>
    <row r="47" spans="3:4" x14ac:dyDescent="0.3">
      <c r="C47" t="s">
        <v>24</v>
      </c>
      <c r="D47">
        <v>1</v>
      </c>
    </row>
    <row r="48" spans="3:4" x14ac:dyDescent="0.3">
      <c r="C48" t="s">
        <v>24</v>
      </c>
      <c r="D48">
        <v>1</v>
      </c>
    </row>
    <row r="49" spans="3:4" x14ac:dyDescent="0.3">
      <c r="C49" t="s">
        <v>24</v>
      </c>
      <c r="D49">
        <v>1</v>
      </c>
    </row>
    <row r="50" spans="3:4" x14ac:dyDescent="0.3">
      <c r="C50" t="s">
        <v>24</v>
      </c>
      <c r="D50">
        <v>1</v>
      </c>
    </row>
    <row r="51" spans="3:4" x14ac:dyDescent="0.3">
      <c r="C51" t="s">
        <v>24</v>
      </c>
      <c r="D51">
        <v>1</v>
      </c>
    </row>
    <row r="52" spans="3:4" x14ac:dyDescent="0.3">
      <c r="C52" t="s">
        <v>24</v>
      </c>
      <c r="D52">
        <v>1</v>
      </c>
    </row>
    <row r="53" spans="3:4" x14ac:dyDescent="0.3">
      <c r="C53" t="s">
        <v>24</v>
      </c>
      <c r="D53">
        <v>1</v>
      </c>
    </row>
    <row r="54" spans="3:4" x14ac:dyDescent="0.3">
      <c r="C54" t="s">
        <v>24</v>
      </c>
      <c r="D54">
        <v>1</v>
      </c>
    </row>
    <row r="55" spans="3:4" x14ac:dyDescent="0.3">
      <c r="C55" t="s">
        <v>24</v>
      </c>
      <c r="D55">
        <v>1</v>
      </c>
    </row>
    <row r="56" spans="3:4" x14ac:dyDescent="0.3">
      <c r="C56" t="s">
        <v>24</v>
      </c>
      <c r="D56">
        <v>1</v>
      </c>
    </row>
    <row r="57" spans="3:4" x14ac:dyDescent="0.3">
      <c r="C57" t="s">
        <v>24</v>
      </c>
      <c r="D57">
        <v>1</v>
      </c>
    </row>
    <row r="58" spans="3:4" x14ac:dyDescent="0.3">
      <c r="C58" t="s">
        <v>24</v>
      </c>
      <c r="D58">
        <v>1</v>
      </c>
    </row>
    <row r="59" spans="3:4" x14ac:dyDescent="0.3">
      <c r="C59" t="s">
        <v>24</v>
      </c>
      <c r="D59">
        <v>1</v>
      </c>
    </row>
    <row r="60" spans="3:4" x14ac:dyDescent="0.3">
      <c r="C60" t="s">
        <v>24</v>
      </c>
      <c r="D60">
        <v>1</v>
      </c>
    </row>
    <row r="61" spans="3:4" x14ac:dyDescent="0.3">
      <c r="C61" t="s">
        <v>24</v>
      </c>
      <c r="D61">
        <v>1</v>
      </c>
    </row>
    <row r="62" spans="3:4" x14ac:dyDescent="0.3">
      <c r="C62" t="s">
        <v>24</v>
      </c>
      <c r="D62">
        <v>1</v>
      </c>
    </row>
    <row r="63" spans="3:4" x14ac:dyDescent="0.3">
      <c r="C63" t="s">
        <v>24</v>
      </c>
      <c r="D63">
        <v>1</v>
      </c>
    </row>
    <row r="64" spans="3:4" x14ac:dyDescent="0.3">
      <c r="C64" t="s">
        <v>24</v>
      </c>
      <c r="D64">
        <v>1</v>
      </c>
    </row>
    <row r="65" spans="3:4" x14ac:dyDescent="0.3">
      <c r="C65" t="s">
        <v>24</v>
      </c>
      <c r="D65">
        <v>1</v>
      </c>
    </row>
    <row r="66" spans="3:4" x14ac:dyDescent="0.3">
      <c r="C66" t="s">
        <v>24</v>
      </c>
      <c r="D66">
        <v>1</v>
      </c>
    </row>
    <row r="67" spans="3:4" x14ac:dyDescent="0.3">
      <c r="C67" t="s">
        <v>24</v>
      </c>
      <c r="D67">
        <v>1</v>
      </c>
    </row>
    <row r="68" spans="3:4" x14ac:dyDescent="0.3">
      <c r="C68" t="s">
        <v>24</v>
      </c>
      <c r="D68">
        <v>1</v>
      </c>
    </row>
    <row r="69" spans="3:4" x14ac:dyDescent="0.3">
      <c r="C69" t="s">
        <v>24</v>
      </c>
      <c r="D69">
        <v>1</v>
      </c>
    </row>
    <row r="70" spans="3:4" x14ac:dyDescent="0.3">
      <c r="C70" t="s">
        <v>24</v>
      </c>
      <c r="D70">
        <v>1</v>
      </c>
    </row>
    <row r="71" spans="3:4" x14ac:dyDescent="0.3">
      <c r="C71" t="s">
        <v>24</v>
      </c>
      <c r="D71">
        <v>1</v>
      </c>
    </row>
    <row r="72" spans="3:4" x14ac:dyDescent="0.3">
      <c r="C72" t="s">
        <v>24</v>
      </c>
      <c r="D72">
        <v>1</v>
      </c>
    </row>
    <row r="73" spans="3:4" x14ac:dyDescent="0.3">
      <c r="C73" t="s">
        <v>24</v>
      </c>
      <c r="D73">
        <v>1</v>
      </c>
    </row>
    <row r="74" spans="3:4" x14ac:dyDescent="0.3">
      <c r="C74" t="s">
        <v>24</v>
      </c>
      <c r="D74">
        <v>1</v>
      </c>
    </row>
    <row r="75" spans="3:4" x14ac:dyDescent="0.3">
      <c r="C75" t="s">
        <v>24</v>
      </c>
      <c r="D75">
        <v>1</v>
      </c>
    </row>
    <row r="76" spans="3:4" x14ac:dyDescent="0.3">
      <c r="C76" t="s">
        <v>24</v>
      </c>
      <c r="D76">
        <v>1</v>
      </c>
    </row>
    <row r="77" spans="3:4" x14ac:dyDescent="0.3">
      <c r="C77" t="s">
        <v>24</v>
      </c>
      <c r="D77">
        <v>1</v>
      </c>
    </row>
    <row r="78" spans="3:4" x14ac:dyDescent="0.3">
      <c r="C78" t="s">
        <v>24</v>
      </c>
      <c r="D78">
        <v>1</v>
      </c>
    </row>
    <row r="79" spans="3:4" x14ac:dyDescent="0.3">
      <c r="C79" t="s">
        <v>24</v>
      </c>
      <c r="D79">
        <v>1</v>
      </c>
    </row>
    <row r="80" spans="3:4" x14ac:dyDescent="0.3">
      <c r="C80" t="s">
        <v>24</v>
      </c>
      <c r="D80">
        <v>1</v>
      </c>
    </row>
    <row r="81" spans="3:4" x14ac:dyDescent="0.3">
      <c r="C81" t="s">
        <v>24</v>
      </c>
      <c r="D81">
        <v>1</v>
      </c>
    </row>
    <row r="82" spans="3:4" x14ac:dyDescent="0.3">
      <c r="C82" t="s">
        <v>24</v>
      </c>
      <c r="D82">
        <v>1</v>
      </c>
    </row>
    <row r="83" spans="3:4" x14ac:dyDescent="0.3">
      <c r="C83" t="s">
        <v>24</v>
      </c>
      <c r="D83">
        <v>1</v>
      </c>
    </row>
    <row r="84" spans="3:4" x14ac:dyDescent="0.3">
      <c r="C84" t="s">
        <v>24</v>
      </c>
      <c r="D84">
        <v>1</v>
      </c>
    </row>
    <row r="85" spans="3:4" x14ac:dyDescent="0.3">
      <c r="C85" t="s">
        <v>24</v>
      </c>
      <c r="D85">
        <v>1</v>
      </c>
    </row>
    <row r="86" spans="3:4" x14ac:dyDescent="0.3">
      <c r="C86" t="s">
        <v>24</v>
      </c>
      <c r="D86">
        <v>1</v>
      </c>
    </row>
    <row r="87" spans="3:4" x14ac:dyDescent="0.3">
      <c r="C87" t="s">
        <v>24</v>
      </c>
      <c r="D87">
        <v>1</v>
      </c>
    </row>
    <row r="88" spans="3:4" x14ac:dyDescent="0.3">
      <c r="C88" t="s">
        <v>24</v>
      </c>
      <c r="D88">
        <v>1</v>
      </c>
    </row>
    <row r="89" spans="3:4" x14ac:dyDescent="0.3">
      <c r="C89" t="s">
        <v>24</v>
      </c>
      <c r="D89">
        <v>1</v>
      </c>
    </row>
    <row r="90" spans="3:4" x14ac:dyDescent="0.3">
      <c r="C90" t="s">
        <v>24</v>
      </c>
      <c r="D90">
        <v>1</v>
      </c>
    </row>
    <row r="91" spans="3:4" x14ac:dyDescent="0.3">
      <c r="C91" t="s">
        <v>24</v>
      </c>
      <c r="D91">
        <v>1</v>
      </c>
    </row>
    <row r="92" spans="3:4" x14ac:dyDescent="0.3">
      <c r="C92" t="s">
        <v>24</v>
      </c>
      <c r="D92">
        <v>1</v>
      </c>
    </row>
    <row r="93" spans="3:4" x14ac:dyDescent="0.3">
      <c r="C93" t="s">
        <v>24</v>
      </c>
      <c r="D93">
        <v>1</v>
      </c>
    </row>
    <row r="94" spans="3:4" x14ac:dyDescent="0.3">
      <c r="C94" t="s">
        <v>24</v>
      </c>
      <c r="D94">
        <v>1</v>
      </c>
    </row>
    <row r="95" spans="3:4" x14ac:dyDescent="0.3">
      <c r="C95" t="s">
        <v>24</v>
      </c>
      <c r="D95">
        <v>1</v>
      </c>
    </row>
    <row r="96" spans="3:4" x14ac:dyDescent="0.3">
      <c r="C96" t="s">
        <v>24</v>
      </c>
      <c r="D96">
        <v>1</v>
      </c>
    </row>
    <row r="97" spans="3:4" x14ac:dyDescent="0.3">
      <c r="C97" t="s">
        <v>24</v>
      </c>
      <c r="D97">
        <v>1</v>
      </c>
    </row>
    <row r="98" spans="3:4" x14ac:dyDescent="0.3">
      <c r="C98" t="s">
        <v>24</v>
      </c>
      <c r="D98">
        <v>1</v>
      </c>
    </row>
    <row r="99" spans="3:4" x14ac:dyDescent="0.3">
      <c r="C99" t="s">
        <v>24</v>
      </c>
      <c r="D99">
        <v>1</v>
      </c>
    </row>
    <row r="100" spans="3:4" x14ac:dyDescent="0.3">
      <c r="C100" t="s">
        <v>24</v>
      </c>
      <c r="D100">
        <v>1</v>
      </c>
    </row>
    <row r="101" spans="3:4" x14ac:dyDescent="0.3">
      <c r="C101" t="s">
        <v>24</v>
      </c>
      <c r="D101">
        <v>1</v>
      </c>
    </row>
    <row r="102" spans="3:4" x14ac:dyDescent="0.3">
      <c r="C102" t="s">
        <v>24</v>
      </c>
      <c r="D102">
        <v>1</v>
      </c>
    </row>
    <row r="103" spans="3:4" x14ac:dyDescent="0.3">
      <c r="C103" t="s">
        <v>24</v>
      </c>
      <c r="D103">
        <v>1</v>
      </c>
    </row>
    <row r="104" spans="3:4" x14ac:dyDescent="0.3">
      <c r="C104" t="s">
        <v>24</v>
      </c>
      <c r="D104">
        <v>1</v>
      </c>
    </row>
    <row r="105" spans="3:4" x14ac:dyDescent="0.3">
      <c r="C105" t="s">
        <v>24</v>
      </c>
      <c r="D105">
        <v>1</v>
      </c>
    </row>
    <row r="106" spans="3:4" x14ac:dyDescent="0.3">
      <c r="C106" t="s">
        <v>24</v>
      </c>
      <c r="D106">
        <v>1</v>
      </c>
    </row>
    <row r="107" spans="3:4" x14ac:dyDescent="0.3">
      <c r="C107" t="s">
        <v>24</v>
      </c>
      <c r="D107">
        <v>1</v>
      </c>
    </row>
    <row r="108" spans="3:4" x14ac:dyDescent="0.3">
      <c r="C108" t="s">
        <v>24</v>
      </c>
      <c r="D108">
        <v>1</v>
      </c>
    </row>
    <row r="109" spans="3:4" x14ac:dyDescent="0.3">
      <c r="C109" t="s">
        <v>24</v>
      </c>
      <c r="D109">
        <v>1</v>
      </c>
    </row>
    <row r="110" spans="3:4" x14ac:dyDescent="0.3">
      <c r="C110" t="s">
        <v>24</v>
      </c>
      <c r="D110">
        <v>1</v>
      </c>
    </row>
    <row r="111" spans="3:4" x14ac:dyDescent="0.3">
      <c r="C111" t="s">
        <v>24</v>
      </c>
      <c r="D111">
        <v>1</v>
      </c>
    </row>
    <row r="112" spans="3:4" x14ac:dyDescent="0.3">
      <c r="C112" t="s">
        <v>24</v>
      </c>
      <c r="D112">
        <v>1</v>
      </c>
    </row>
    <row r="113" spans="3:4" x14ac:dyDescent="0.3">
      <c r="C113" t="s">
        <v>24</v>
      </c>
      <c r="D113">
        <v>1</v>
      </c>
    </row>
    <row r="114" spans="3:4" x14ac:dyDescent="0.3">
      <c r="C114" t="s">
        <v>24</v>
      </c>
      <c r="D114">
        <v>1</v>
      </c>
    </row>
    <row r="115" spans="3:4" x14ac:dyDescent="0.3">
      <c r="C115" t="s">
        <v>24</v>
      </c>
      <c r="D115">
        <v>1</v>
      </c>
    </row>
    <row r="116" spans="3:4" x14ac:dyDescent="0.3">
      <c r="C116" t="s">
        <v>24</v>
      </c>
      <c r="D116">
        <v>1</v>
      </c>
    </row>
    <row r="117" spans="3:4" x14ac:dyDescent="0.3">
      <c r="C117" t="s">
        <v>24</v>
      </c>
      <c r="D117">
        <v>1</v>
      </c>
    </row>
    <row r="118" spans="3:4" x14ac:dyDescent="0.3">
      <c r="C118" t="s">
        <v>24</v>
      </c>
      <c r="D118">
        <v>1</v>
      </c>
    </row>
    <row r="119" spans="3:4" x14ac:dyDescent="0.3">
      <c r="C119" t="s">
        <v>24</v>
      </c>
      <c r="D119">
        <v>1</v>
      </c>
    </row>
    <row r="120" spans="3:4" x14ac:dyDescent="0.3">
      <c r="C120" t="s">
        <v>24</v>
      </c>
      <c r="D120">
        <v>1</v>
      </c>
    </row>
    <row r="121" spans="3:4" x14ac:dyDescent="0.3">
      <c r="C121" t="s">
        <v>24</v>
      </c>
      <c r="D121">
        <v>1</v>
      </c>
    </row>
    <row r="122" spans="3:4" x14ac:dyDescent="0.3">
      <c r="C122" t="s">
        <v>24</v>
      </c>
      <c r="D122">
        <v>1</v>
      </c>
    </row>
    <row r="123" spans="3:4" x14ac:dyDescent="0.3">
      <c r="C123" t="s">
        <v>24</v>
      </c>
      <c r="D123">
        <v>1</v>
      </c>
    </row>
    <row r="124" spans="3:4" x14ac:dyDescent="0.3">
      <c r="C124" t="s">
        <v>24</v>
      </c>
      <c r="D124">
        <v>1</v>
      </c>
    </row>
    <row r="125" spans="3:4" x14ac:dyDescent="0.3">
      <c r="C125" t="s">
        <v>24</v>
      </c>
      <c r="D125">
        <v>1</v>
      </c>
    </row>
    <row r="126" spans="3:4" x14ac:dyDescent="0.3">
      <c r="C126" t="s">
        <v>24</v>
      </c>
      <c r="D126">
        <v>1</v>
      </c>
    </row>
    <row r="127" spans="3:4" x14ac:dyDescent="0.3">
      <c r="C127" t="s">
        <v>24</v>
      </c>
      <c r="D127">
        <v>1</v>
      </c>
    </row>
    <row r="128" spans="3:4" x14ac:dyDescent="0.3">
      <c r="C128" t="s">
        <v>24</v>
      </c>
      <c r="D128">
        <v>1</v>
      </c>
    </row>
    <row r="129" spans="3:4" x14ac:dyDescent="0.3">
      <c r="C129" t="s">
        <v>24</v>
      </c>
      <c r="D129">
        <v>1</v>
      </c>
    </row>
    <row r="130" spans="3:4" x14ac:dyDescent="0.3">
      <c r="C130" t="s">
        <v>24</v>
      </c>
      <c r="D130">
        <v>1</v>
      </c>
    </row>
    <row r="131" spans="3:4" x14ac:dyDescent="0.3">
      <c r="C131" t="s">
        <v>24</v>
      </c>
      <c r="D131">
        <v>1</v>
      </c>
    </row>
    <row r="132" spans="3:4" x14ac:dyDescent="0.3">
      <c r="C132" t="s">
        <v>24</v>
      </c>
      <c r="D132">
        <v>1</v>
      </c>
    </row>
    <row r="133" spans="3:4" x14ac:dyDescent="0.3">
      <c r="C133" t="s">
        <v>24</v>
      </c>
      <c r="D133">
        <v>1</v>
      </c>
    </row>
    <row r="134" spans="3:4" x14ac:dyDescent="0.3">
      <c r="C134" t="s">
        <v>24</v>
      </c>
      <c r="D134">
        <v>1</v>
      </c>
    </row>
    <row r="135" spans="3:4" x14ac:dyDescent="0.3">
      <c r="C135" t="s">
        <v>24</v>
      </c>
      <c r="D135">
        <v>1</v>
      </c>
    </row>
    <row r="136" spans="3:4" x14ac:dyDescent="0.3">
      <c r="C136" t="s">
        <v>24</v>
      </c>
      <c r="D136">
        <v>1</v>
      </c>
    </row>
    <row r="137" spans="3:4" x14ac:dyDescent="0.3">
      <c r="C137" t="s">
        <v>24</v>
      </c>
      <c r="D137">
        <v>1</v>
      </c>
    </row>
    <row r="138" spans="3:4" x14ac:dyDescent="0.3">
      <c r="C138" t="s">
        <v>24</v>
      </c>
      <c r="D138">
        <v>1</v>
      </c>
    </row>
    <row r="139" spans="3:4" x14ac:dyDescent="0.3">
      <c r="C139" t="s">
        <v>24</v>
      </c>
      <c r="D139">
        <v>1</v>
      </c>
    </row>
    <row r="140" spans="3:4" x14ac:dyDescent="0.3">
      <c r="C140" t="s">
        <v>24</v>
      </c>
      <c r="D140">
        <v>1</v>
      </c>
    </row>
    <row r="141" spans="3:4" x14ac:dyDescent="0.3">
      <c r="C141" t="s">
        <v>24</v>
      </c>
      <c r="D141">
        <v>1</v>
      </c>
    </row>
    <row r="142" spans="3:4" x14ac:dyDescent="0.3">
      <c r="C142" t="s">
        <v>24</v>
      </c>
      <c r="D142">
        <v>1</v>
      </c>
    </row>
    <row r="143" spans="3:4" x14ac:dyDescent="0.3">
      <c r="C143" t="s">
        <v>24</v>
      </c>
      <c r="D143">
        <v>1</v>
      </c>
    </row>
    <row r="144" spans="3:4" x14ac:dyDescent="0.3">
      <c r="C144" t="s">
        <v>24</v>
      </c>
      <c r="D144">
        <v>1</v>
      </c>
    </row>
    <row r="145" spans="3:4" x14ac:dyDescent="0.3">
      <c r="C145" t="s">
        <v>24</v>
      </c>
      <c r="D145">
        <v>1</v>
      </c>
    </row>
    <row r="146" spans="3:4" x14ac:dyDescent="0.3">
      <c r="C146" t="s">
        <v>24</v>
      </c>
      <c r="D146">
        <v>1</v>
      </c>
    </row>
    <row r="147" spans="3:4" x14ac:dyDescent="0.3">
      <c r="C147" t="s">
        <v>24</v>
      </c>
      <c r="D147">
        <v>1</v>
      </c>
    </row>
    <row r="148" spans="3:4" x14ac:dyDescent="0.3">
      <c r="C148" t="s">
        <v>24</v>
      </c>
      <c r="D148">
        <v>1</v>
      </c>
    </row>
    <row r="149" spans="3:4" x14ac:dyDescent="0.3">
      <c r="C149" t="s">
        <v>24</v>
      </c>
      <c r="D149">
        <v>1</v>
      </c>
    </row>
    <row r="150" spans="3:4" x14ac:dyDescent="0.3">
      <c r="C150" t="s">
        <v>24</v>
      </c>
      <c r="D150">
        <v>1</v>
      </c>
    </row>
    <row r="151" spans="3:4" x14ac:dyDescent="0.3">
      <c r="C151" t="s">
        <v>21</v>
      </c>
      <c r="D151">
        <v>2</v>
      </c>
    </row>
    <row r="152" spans="3:4" x14ac:dyDescent="0.3">
      <c r="C152" t="s">
        <v>21</v>
      </c>
      <c r="D152">
        <v>2</v>
      </c>
    </row>
    <row r="153" spans="3:4" x14ac:dyDescent="0.3">
      <c r="C153" t="s">
        <v>21</v>
      </c>
      <c r="D153">
        <v>2</v>
      </c>
    </row>
    <row r="154" spans="3:4" x14ac:dyDescent="0.3">
      <c r="C154" t="s">
        <v>21</v>
      </c>
      <c r="D154">
        <v>2</v>
      </c>
    </row>
    <row r="155" spans="3:4" x14ac:dyDescent="0.3">
      <c r="C155" t="s">
        <v>21</v>
      </c>
      <c r="D155">
        <v>2</v>
      </c>
    </row>
    <row r="156" spans="3:4" x14ac:dyDescent="0.3">
      <c r="C156" t="s">
        <v>21</v>
      </c>
      <c r="D156">
        <v>2</v>
      </c>
    </row>
    <row r="157" spans="3:4" x14ac:dyDescent="0.3">
      <c r="C157" t="s">
        <v>21</v>
      </c>
      <c r="D157">
        <v>2</v>
      </c>
    </row>
    <row r="158" spans="3:4" x14ac:dyDescent="0.3">
      <c r="C158" t="s">
        <v>21</v>
      </c>
      <c r="D158">
        <v>2</v>
      </c>
    </row>
    <row r="159" spans="3:4" x14ac:dyDescent="0.3">
      <c r="C159" t="s">
        <v>21</v>
      </c>
      <c r="D159">
        <v>2</v>
      </c>
    </row>
    <row r="160" spans="3:4" x14ac:dyDescent="0.3">
      <c r="C160" t="s">
        <v>21</v>
      </c>
      <c r="D160">
        <v>2</v>
      </c>
    </row>
    <row r="161" spans="3:4" x14ac:dyDescent="0.3">
      <c r="C161" t="s">
        <v>21</v>
      </c>
      <c r="D161">
        <v>2</v>
      </c>
    </row>
    <row r="162" spans="3:4" x14ac:dyDescent="0.3">
      <c r="C162" t="s">
        <v>21</v>
      </c>
      <c r="D162">
        <v>2</v>
      </c>
    </row>
    <row r="163" spans="3:4" x14ac:dyDescent="0.3">
      <c r="C163" t="s">
        <v>21</v>
      </c>
      <c r="D163">
        <v>2</v>
      </c>
    </row>
    <row r="164" spans="3:4" x14ac:dyDescent="0.3">
      <c r="C164" t="s">
        <v>21</v>
      </c>
      <c r="D164">
        <v>2</v>
      </c>
    </row>
    <row r="165" spans="3:4" x14ac:dyDescent="0.3">
      <c r="C165" t="s">
        <v>21</v>
      </c>
      <c r="D165">
        <v>2</v>
      </c>
    </row>
    <row r="166" spans="3:4" x14ac:dyDescent="0.3">
      <c r="C166" t="s">
        <v>21</v>
      </c>
      <c r="D166">
        <v>2</v>
      </c>
    </row>
    <row r="167" spans="3:4" x14ac:dyDescent="0.3">
      <c r="C167" t="s">
        <v>21</v>
      </c>
      <c r="D167">
        <v>2</v>
      </c>
    </row>
    <row r="168" spans="3:4" x14ac:dyDescent="0.3">
      <c r="C168" t="s">
        <v>21</v>
      </c>
      <c r="D168">
        <v>2</v>
      </c>
    </row>
    <row r="169" spans="3:4" x14ac:dyDescent="0.3">
      <c r="C169" t="s">
        <v>21</v>
      </c>
      <c r="D169">
        <v>2</v>
      </c>
    </row>
    <row r="170" spans="3:4" x14ac:dyDescent="0.3">
      <c r="C170" t="s">
        <v>21</v>
      </c>
      <c r="D170">
        <v>2</v>
      </c>
    </row>
    <row r="171" spans="3:4" x14ac:dyDescent="0.3">
      <c r="C171" t="s">
        <v>21</v>
      </c>
      <c r="D171">
        <v>2</v>
      </c>
    </row>
    <row r="172" spans="3:4" x14ac:dyDescent="0.3">
      <c r="C172" t="s">
        <v>21</v>
      </c>
      <c r="D172">
        <v>2</v>
      </c>
    </row>
    <row r="173" spans="3:4" x14ac:dyDescent="0.3">
      <c r="C173" t="s">
        <v>21</v>
      </c>
      <c r="D173">
        <v>2</v>
      </c>
    </row>
    <row r="174" spans="3:4" x14ac:dyDescent="0.3">
      <c r="C174" t="s">
        <v>21</v>
      </c>
      <c r="D174">
        <v>2</v>
      </c>
    </row>
    <row r="175" spans="3:4" x14ac:dyDescent="0.3">
      <c r="C175" t="s">
        <v>21</v>
      </c>
      <c r="D175">
        <v>2</v>
      </c>
    </row>
    <row r="176" spans="3:4" x14ac:dyDescent="0.3">
      <c r="C176" t="s">
        <v>21</v>
      </c>
      <c r="D176">
        <v>2</v>
      </c>
    </row>
    <row r="177" spans="3:4" x14ac:dyDescent="0.3">
      <c r="C177" t="s">
        <v>21</v>
      </c>
      <c r="D177">
        <v>2</v>
      </c>
    </row>
    <row r="178" spans="3:4" x14ac:dyDescent="0.3">
      <c r="C178" t="s">
        <v>21</v>
      </c>
      <c r="D178">
        <v>2</v>
      </c>
    </row>
    <row r="179" spans="3:4" x14ac:dyDescent="0.3">
      <c r="C179" t="s">
        <v>21</v>
      </c>
      <c r="D179">
        <v>2</v>
      </c>
    </row>
    <row r="180" spans="3:4" x14ac:dyDescent="0.3">
      <c r="C180" t="s">
        <v>21</v>
      </c>
      <c r="D180">
        <v>2</v>
      </c>
    </row>
    <row r="181" spans="3:4" x14ac:dyDescent="0.3">
      <c r="C181" t="s">
        <v>21</v>
      </c>
      <c r="D181">
        <v>2</v>
      </c>
    </row>
    <row r="182" spans="3:4" x14ac:dyDescent="0.3">
      <c r="C182" t="s">
        <v>21</v>
      </c>
      <c r="D182">
        <v>2</v>
      </c>
    </row>
    <row r="183" spans="3:4" x14ac:dyDescent="0.3">
      <c r="C183" t="s">
        <v>21</v>
      </c>
      <c r="D183">
        <v>2</v>
      </c>
    </row>
    <row r="184" spans="3:4" x14ac:dyDescent="0.3">
      <c r="C184" t="s">
        <v>21</v>
      </c>
      <c r="D184">
        <v>2</v>
      </c>
    </row>
    <row r="185" spans="3:4" x14ac:dyDescent="0.3">
      <c r="C185" t="s">
        <v>21</v>
      </c>
      <c r="D185">
        <v>2</v>
      </c>
    </row>
    <row r="186" spans="3:4" x14ac:dyDescent="0.3">
      <c r="C186" t="s">
        <v>21</v>
      </c>
      <c r="D186">
        <v>2</v>
      </c>
    </row>
    <row r="187" spans="3:4" x14ac:dyDescent="0.3">
      <c r="C187" t="s">
        <v>21</v>
      </c>
      <c r="D187">
        <v>2</v>
      </c>
    </row>
    <row r="188" spans="3:4" x14ac:dyDescent="0.3">
      <c r="C188" t="s">
        <v>21</v>
      </c>
      <c r="D188">
        <v>2</v>
      </c>
    </row>
    <row r="189" spans="3:4" x14ac:dyDescent="0.3">
      <c r="C189" t="s">
        <v>21</v>
      </c>
      <c r="D189">
        <v>2</v>
      </c>
    </row>
    <row r="190" spans="3:4" x14ac:dyDescent="0.3">
      <c r="C190" t="s">
        <v>21</v>
      </c>
      <c r="D190">
        <v>2</v>
      </c>
    </row>
    <row r="191" spans="3:4" x14ac:dyDescent="0.3">
      <c r="C191" t="s">
        <v>21</v>
      </c>
      <c r="D191">
        <v>2</v>
      </c>
    </row>
    <row r="192" spans="3:4" x14ac:dyDescent="0.3">
      <c r="C192" t="s">
        <v>21</v>
      </c>
      <c r="D192">
        <v>2</v>
      </c>
    </row>
    <row r="193" spans="3:4" x14ac:dyDescent="0.3">
      <c r="C193" t="s">
        <v>21</v>
      </c>
      <c r="D193">
        <v>2</v>
      </c>
    </row>
    <row r="194" spans="3:4" x14ac:dyDescent="0.3">
      <c r="C194" t="s">
        <v>21</v>
      </c>
      <c r="D194">
        <v>2</v>
      </c>
    </row>
    <row r="195" spans="3:4" x14ac:dyDescent="0.3">
      <c r="C195" t="s">
        <v>21</v>
      </c>
      <c r="D195">
        <v>2</v>
      </c>
    </row>
    <row r="196" spans="3:4" x14ac:dyDescent="0.3">
      <c r="C196" t="s">
        <v>21</v>
      </c>
      <c r="D196">
        <v>2</v>
      </c>
    </row>
    <row r="197" spans="3:4" x14ac:dyDescent="0.3">
      <c r="C197" t="s">
        <v>21</v>
      </c>
      <c r="D197">
        <v>2</v>
      </c>
    </row>
    <row r="198" spans="3:4" x14ac:dyDescent="0.3">
      <c r="C198" t="s">
        <v>21</v>
      </c>
      <c r="D198">
        <v>2</v>
      </c>
    </row>
    <row r="199" spans="3:4" x14ac:dyDescent="0.3">
      <c r="C199" t="s">
        <v>21</v>
      </c>
      <c r="D199">
        <v>2</v>
      </c>
    </row>
    <row r="200" spans="3:4" x14ac:dyDescent="0.3">
      <c r="C200" t="s">
        <v>21</v>
      </c>
      <c r="D200">
        <v>2</v>
      </c>
    </row>
    <row r="201" spans="3:4" x14ac:dyDescent="0.3">
      <c r="C201" t="s">
        <v>21</v>
      </c>
      <c r="D201">
        <v>2</v>
      </c>
    </row>
    <row r="202" spans="3:4" x14ac:dyDescent="0.3">
      <c r="C202" t="s">
        <v>21</v>
      </c>
      <c r="D202">
        <v>2</v>
      </c>
    </row>
    <row r="203" spans="3:4" x14ac:dyDescent="0.3">
      <c r="C203" t="s">
        <v>21</v>
      </c>
      <c r="D203">
        <v>2</v>
      </c>
    </row>
    <row r="204" spans="3:4" x14ac:dyDescent="0.3">
      <c r="C204" t="s">
        <v>21</v>
      </c>
      <c r="D204">
        <v>2</v>
      </c>
    </row>
    <row r="205" spans="3:4" x14ac:dyDescent="0.3">
      <c r="C205" t="s">
        <v>21</v>
      </c>
      <c r="D205">
        <v>2</v>
      </c>
    </row>
    <row r="206" spans="3:4" x14ac:dyDescent="0.3">
      <c r="C206" t="s">
        <v>21</v>
      </c>
      <c r="D206">
        <v>2</v>
      </c>
    </row>
    <row r="207" spans="3:4" x14ac:dyDescent="0.3">
      <c r="C207" t="s">
        <v>21</v>
      </c>
      <c r="D207">
        <v>2</v>
      </c>
    </row>
    <row r="208" spans="3:4" x14ac:dyDescent="0.3">
      <c r="C208" t="s">
        <v>21</v>
      </c>
      <c r="D208">
        <v>2</v>
      </c>
    </row>
    <row r="209" spans="3:4" x14ac:dyDescent="0.3">
      <c r="C209" t="s">
        <v>21</v>
      </c>
      <c r="D209">
        <v>2</v>
      </c>
    </row>
    <row r="210" spans="3:4" x14ac:dyDescent="0.3">
      <c r="C210" t="s">
        <v>21</v>
      </c>
      <c r="D210">
        <v>2</v>
      </c>
    </row>
    <row r="211" spans="3:4" x14ac:dyDescent="0.3">
      <c r="C211" t="s">
        <v>21</v>
      </c>
      <c r="D211">
        <v>2</v>
      </c>
    </row>
    <row r="214" spans="3:4" x14ac:dyDescent="0.3">
      <c r="C214" t="s">
        <v>47</v>
      </c>
      <c r="D214" s="3">
        <f>AVERAGE(D$3:D$211)</f>
        <v>1.2918660287081341</v>
      </c>
    </row>
    <row r="216" spans="3:4" ht="15.6" x14ac:dyDescent="0.3">
      <c r="C216" t="s">
        <v>48</v>
      </c>
      <c r="D216" s="4">
        <f>STDEV(D$3:D$211)</f>
        <v>0.45571252456162098</v>
      </c>
    </row>
    <row r="219" spans="3:4" x14ac:dyDescent="0.3">
      <c r="C219" t="s">
        <v>49</v>
      </c>
      <c r="D219">
        <f>MIN(D$3:D$211)</f>
        <v>1</v>
      </c>
    </row>
    <row r="221" spans="3:4" x14ac:dyDescent="0.3">
      <c r="C221" t="s">
        <v>50</v>
      </c>
      <c r="D221" s="3">
        <f>QUARTILE(D$3:D$211,1)</f>
        <v>1</v>
      </c>
    </row>
    <row r="223" spans="3:4" x14ac:dyDescent="0.3">
      <c r="C223" t="s">
        <v>51</v>
      </c>
      <c r="D223" s="3">
        <f>MEDIAN(D$3:D$211)</f>
        <v>1</v>
      </c>
    </row>
    <row r="225" spans="3:4" x14ac:dyDescent="0.3">
      <c r="C225" t="s">
        <v>52</v>
      </c>
      <c r="D225">
        <f>QUARTILE(D$3:D$211,3)</f>
        <v>2</v>
      </c>
    </row>
    <row r="227" spans="3:4" x14ac:dyDescent="0.3">
      <c r="C227" t="s">
        <v>53</v>
      </c>
      <c r="D227">
        <f>MAX(D$3:D$211)</f>
        <v>2</v>
      </c>
    </row>
    <row r="229" spans="3:4" x14ac:dyDescent="0.3">
      <c r="C229" t="s">
        <v>54</v>
      </c>
      <c r="D229">
        <f>D227-D219</f>
        <v>1</v>
      </c>
    </row>
    <row r="231" spans="3:4" x14ac:dyDescent="0.3">
      <c r="C231" t="s">
        <v>55</v>
      </c>
      <c r="D231">
        <f>D221-D225</f>
        <v>-1</v>
      </c>
    </row>
    <row r="233" spans="3:4" x14ac:dyDescent="0.3">
      <c r="C233" t="s">
        <v>56</v>
      </c>
      <c r="D233">
        <f>MODE(D$3:D$211)</f>
        <v>1</v>
      </c>
    </row>
  </sheetData>
  <sortState xmlns:xlrd2="http://schemas.microsoft.com/office/spreadsheetml/2017/richdata2" ref="C3:C211">
    <sortCondition ref="C3:C211"/>
  </sortState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69E8A-BF6F-4FBF-B808-A75565E110CA}">
  <dimension ref="C1:H233"/>
  <sheetViews>
    <sheetView topLeftCell="A202" workbookViewId="0">
      <selection activeCell="I231" sqref="I231"/>
    </sheetView>
  </sheetViews>
  <sheetFormatPr defaultRowHeight="14.4" x14ac:dyDescent="0.3"/>
  <cols>
    <col min="7" max="7" width="29.44140625" customWidth="1"/>
  </cols>
  <sheetData>
    <row r="1" spans="3:8" x14ac:dyDescent="0.3">
      <c r="C1">
        <v>9</v>
      </c>
    </row>
    <row r="2" spans="3:8" x14ac:dyDescent="0.3">
      <c r="C2" t="s">
        <v>8</v>
      </c>
      <c r="G2" t="s">
        <v>58</v>
      </c>
      <c r="H2" t="s">
        <v>111</v>
      </c>
    </row>
    <row r="3" spans="3:8" x14ac:dyDescent="0.3">
      <c r="C3" t="s">
        <v>24</v>
      </c>
      <c r="D3">
        <v>1</v>
      </c>
      <c r="G3" t="s">
        <v>60</v>
      </c>
      <c r="H3" t="s">
        <v>61</v>
      </c>
    </row>
    <row r="4" spans="3:8" x14ac:dyDescent="0.3">
      <c r="C4" t="s">
        <v>24</v>
      </c>
      <c r="D4">
        <v>1</v>
      </c>
    </row>
    <row r="5" spans="3:8" x14ac:dyDescent="0.3">
      <c r="C5" t="s">
        <v>24</v>
      </c>
      <c r="D5">
        <v>1</v>
      </c>
      <c r="G5" t="s">
        <v>92</v>
      </c>
    </row>
    <row r="6" spans="3:8" x14ac:dyDescent="0.3">
      <c r="C6" t="s">
        <v>24</v>
      </c>
      <c r="D6">
        <v>1</v>
      </c>
      <c r="G6" t="s">
        <v>93</v>
      </c>
      <c r="H6" t="s">
        <v>63</v>
      </c>
    </row>
    <row r="7" spans="3:8" x14ac:dyDescent="0.3">
      <c r="C7" t="s">
        <v>24</v>
      </c>
      <c r="D7">
        <v>1</v>
      </c>
      <c r="G7" t="s">
        <v>112</v>
      </c>
      <c r="H7">
        <f>COUNT(D3:D172)</f>
        <v>170</v>
      </c>
    </row>
    <row r="8" spans="3:8" x14ac:dyDescent="0.3">
      <c r="C8" t="s">
        <v>24</v>
      </c>
      <c r="D8">
        <v>1</v>
      </c>
      <c r="G8" t="s">
        <v>113</v>
      </c>
      <c r="H8">
        <f>COUNT(D173:D194)</f>
        <v>22</v>
      </c>
    </row>
    <row r="9" spans="3:8" x14ac:dyDescent="0.3">
      <c r="C9" t="s">
        <v>24</v>
      </c>
      <c r="D9">
        <v>1</v>
      </c>
      <c r="G9" t="s">
        <v>114</v>
      </c>
      <c r="H9">
        <f>COUNT(D195:D211)</f>
        <v>17</v>
      </c>
    </row>
    <row r="10" spans="3:8" x14ac:dyDescent="0.3">
      <c r="C10" t="s">
        <v>24</v>
      </c>
      <c r="D10">
        <v>1</v>
      </c>
    </row>
    <row r="11" spans="3:8" x14ac:dyDescent="0.3">
      <c r="C11" t="s">
        <v>24</v>
      </c>
      <c r="D11">
        <v>1</v>
      </c>
    </row>
    <row r="12" spans="3:8" x14ac:dyDescent="0.3">
      <c r="C12" t="s">
        <v>24</v>
      </c>
      <c r="D12">
        <v>1</v>
      </c>
    </row>
    <row r="13" spans="3:8" x14ac:dyDescent="0.3">
      <c r="C13" t="s">
        <v>24</v>
      </c>
      <c r="D13">
        <v>1</v>
      </c>
    </row>
    <row r="14" spans="3:8" x14ac:dyDescent="0.3">
      <c r="C14" t="s">
        <v>24</v>
      </c>
      <c r="D14">
        <v>1</v>
      </c>
    </row>
    <row r="15" spans="3:8" x14ac:dyDescent="0.3">
      <c r="C15" t="s">
        <v>24</v>
      </c>
      <c r="D15">
        <v>1</v>
      </c>
    </row>
    <row r="16" spans="3:8" x14ac:dyDescent="0.3">
      <c r="C16" t="s">
        <v>24</v>
      </c>
      <c r="D16">
        <v>1</v>
      </c>
    </row>
    <row r="17" spans="3:4" x14ac:dyDescent="0.3">
      <c r="C17" t="s">
        <v>24</v>
      </c>
      <c r="D17">
        <v>1</v>
      </c>
    </row>
    <row r="18" spans="3:4" x14ac:dyDescent="0.3">
      <c r="C18" t="s">
        <v>24</v>
      </c>
      <c r="D18">
        <v>1</v>
      </c>
    </row>
    <row r="19" spans="3:4" x14ac:dyDescent="0.3">
      <c r="C19" t="s">
        <v>24</v>
      </c>
      <c r="D19">
        <v>1</v>
      </c>
    </row>
    <row r="20" spans="3:4" x14ac:dyDescent="0.3">
      <c r="C20" t="s">
        <v>24</v>
      </c>
      <c r="D20">
        <v>1</v>
      </c>
    </row>
    <row r="21" spans="3:4" x14ac:dyDescent="0.3">
      <c r="C21" t="s">
        <v>24</v>
      </c>
      <c r="D21">
        <v>1</v>
      </c>
    </row>
    <row r="22" spans="3:4" x14ac:dyDescent="0.3">
      <c r="C22" t="s">
        <v>24</v>
      </c>
      <c r="D22">
        <v>1</v>
      </c>
    </row>
    <row r="23" spans="3:4" x14ac:dyDescent="0.3">
      <c r="C23" t="s">
        <v>24</v>
      </c>
      <c r="D23">
        <v>1</v>
      </c>
    </row>
    <row r="24" spans="3:4" x14ac:dyDescent="0.3">
      <c r="C24" t="s">
        <v>24</v>
      </c>
      <c r="D24">
        <v>1</v>
      </c>
    </row>
    <row r="25" spans="3:4" x14ac:dyDescent="0.3">
      <c r="C25" t="s">
        <v>24</v>
      </c>
      <c r="D25">
        <v>1</v>
      </c>
    </row>
    <row r="26" spans="3:4" x14ac:dyDescent="0.3">
      <c r="C26" t="s">
        <v>24</v>
      </c>
      <c r="D26">
        <v>1</v>
      </c>
    </row>
    <row r="27" spans="3:4" x14ac:dyDescent="0.3">
      <c r="C27" t="s">
        <v>24</v>
      </c>
      <c r="D27">
        <v>1</v>
      </c>
    </row>
    <row r="28" spans="3:4" x14ac:dyDescent="0.3">
      <c r="C28" t="s">
        <v>24</v>
      </c>
      <c r="D28">
        <v>1</v>
      </c>
    </row>
    <row r="29" spans="3:4" x14ac:dyDescent="0.3">
      <c r="C29" t="s">
        <v>24</v>
      </c>
      <c r="D29">
        <v>1</v>
      </c>
    </row>
    <row r="30" spans="3:4" x14ac:dyDescent="0.3">
      <c r="C30" t="s">
        <v>24</v>
      </c>
      <c r="D30">
        <v>1</v>
      </c>
    </row>
    <row r="31" spans="3:4" x14ac:dyDescent="0.3">
      <c r="C31" t="s">
        <v>24</v>
      </c>
      <c r="D31">
        <v>1</v>
      </c>
    </row>
    <row r="32" spans="3:4" x14ac:dyDescent="0.3">
      <c r="C32" t="s">
        <v>24</v>
      </c>
      <c r="D32">
        <v>1</v>
      </c>
    </row>
    <row r="33" spans="3:4" x14ac:dyDescent="0.3">
      <c r="C33" t="s">
        <v>24</v>
      </c>
      <c r="D33">
        <v>1</v>
      </c>
    </row>
    <row r="34" spans="3:4" x14ac:dyDescent="0.3">
      <c r="C34" t="s">
        <v>24</v>
      </c>
      <c r="D34">
        <v>1</v>
      </c>
    </row>
    <row r="35" spans="3:4" x14ac:dyDescent="0.3">
      <c r="C35" t="s">
        <v>24</v>
      </c>
      <c r="D35">
        <v>1</v>
      </c>
    </row>
    <row r="36" spans="3:4" x14ac:dyDescent="0.3">
      <c r="C36" t="s">
        <v>24</v>
      </c>
      <c r="D36">
        <v>1</v>
      </c>
    </row>
    <row r="37" spans="3:4" x14ac:dyDescent="0.3">
      <c r="C37" t="s">
        <v>24</v>
      </c>
      <c r="D37">
        <v>1</v>
      </c>
    </row>
    <row r="38" spans="3:4" x14ac:dyDescent="0.3">
      <c r="C38" t="s">
        <v>24</v>
      </c>
      <c r="D38">
        <v>1</v>
      </c>
    </row>
    <row r="39" spans="3:4" x14ac:dyDescent="0.3">
      <c r="C39" t="s">
        <v>24</v>
      </c>
      <c r="D39">
        <v>1</v>
      </c>
    </row>
    <row r="40" spans="3:4" x14ac:dyDescent="0.3">
      <c r="C40" t="s">
        <v>24</v>
      </c>
      <c r="D40">
        <v>1</v>
      </c>
    </row>
    <row r="41" spans="3:4" x14ac:dyDescent="0.3">
      <c r="C41" t="s">
        <v>24</v>
      </c>
      <c r="D41">
        <v>1</v>
      </c>
    </row>
    <row r="42" spans="3:4" x14ac:dyDescent="0.3">
      <c r="C42" t="s">
        <v>24</v>
      </c>
      <c r="D42">
        <v>1</v>
      </c>
    </row>
    <row r="43" spans="3:4" x14ac:dyDescent="0.3">
      <c r="C43" t="s">
        <v>24</v>
      </c>
      <c r="D43">
        <v>1</v>
      </c>
    </row>
    <row r="44" spans="3:4" x14ac:dyDescent="0.3">
      <c r="C44" t="s">
        <v>24</v>
      </c>
      <c r="D44">
        <v>1</v>
      </c>
    </row>
    <row r="45" spans="3:4" x14ac:dyDescent="0.3">
      <c r="C45" t="s">
        <v>24</v>
      </c>
      <c r="D45">
        <v>1</v>
      </c>
    </row>
    <row r="46" spans="3:4" x14ac:dyDescent="0.3">
      <c r="C46" t="s">
        <v>24</v>
      </c>
      <c r="D46">
        <v>1</v>
      </c>
    </row>
    <row r="47" spans="3:4" x14ac:dyDescent="0.3">
      <c r="C47" t="s">
        <v>24</v>
      </c>
      <c r="D47">
        <v>1</v>
      </c>
    </row>
    <row r="48" spans="3:4" x14ac:dyDescent="0.3">
      <c r="C48" t="s">
        <v>24</v>
      </c>
      <c r="D48">
        <v>1</v>
      </c>
    </row>
    <row r="49" spans="3:4" x14ac:dyDescent="0.3">
      <c r="C49" t="s">
        <v>24</v>
      </c>
      <c r="D49">
        <v>1</v>
      </c>
    </row>
    <row r="50" spans="3:4" x14ac:dyDescent="0.3">
      <c r="C50" t="s">
        <v>24</v>
      </c>
      <c r="D50">
        <v>1</v>
      </c>
    </row>
    <row r="51" spans="3:4" x14ac:dyDescent="0.3">
      <c r="C51" t="s">
        <v>24</v>
      </c>
      <c r="D51">
        <v>1</v>
      </c>
    </row>
    <row r="52" spans="3:4" x14ac:dyDescent="0.3">
      <c r="C52" t="s">
        <v>24</v>
      </c>
      <c r="D52">
        <v>1</v>
      </c>
    </row>
    <row r="53" spans="3:4" x14ac:dyDescent="0.3">
      <c r="C53" t="s">
        <v>24</v>
      </c>
      <c r="D53">
        <v>1</v>
      </c>
    </row>
    <row r="54" spans="3:4" x14ac:dyDescent="0.3">
      <c r="C54" t="s">
        <v>24</v>
      </c>
      <c r="D54">
        <v>1</v>
      </c>
    </row>
    <row r="55" spans="3:4" x14ac:dyDescent="0.3">
      <c r="C55" t="s">
        <v>24</v>
      </c>
      <c r="D55">
        <v>1</v>
      </c>
    </row>
    <row r="56" spans="3:4" x14ac:dyDescent="0.3">
      <c r="C56" t="s">
        <v>24</v>
      </c>
      <c r="D56">
        <v>1</v>
      </c>
    </row>
    <row r="57" spans="3:4" x14ac:dyDescent="0.3">
      <c r="C57" t="s">
        <v>24</v>
      </c>
      <c r="D57">
        <v>1</v>
      </c>
    </row>
    <row r="58" spans="3:4" x14ac:dyDescent="0.3">
      <c r="C58" t="s">
        <v>24</v>
      </c>
      <c r="D58">
        <v>1</v>
      </c>
    </row>
    <row r="59" spans="3:4" x14ac:dyDescent="0.3">
      <c r="C59" t="s">
        <v>24</v>
      </c>
      <c r="D59">
        <v>1</v>
      </c>
    </row>
    <row r="60" spans="3:4" x14ac:dyDescent="0.3">
      <c r="C60" t="s">
        <v>24</v>
      </c>
      <c r="D60">
        <v>1</v>
      </c>
    </row>
    <row r="61" spans="3:4" x14ac:dyDescent="0.3">
      <c r="C61" t="s">
        <v>24</v>
      </c>
      <c r="D61">
        <v>1</v>
      </c>
    </row>
    <row r="62" spans="3:4" x14ac:dyDescent="0.3">
      <c r="C62" t="s">
        <v>24</v>
      </c>
      <c r="D62">
        <v>1</v>
      </c>
    </row>
    <row r="63" spans="3:4" x14ac:dyDescent="0.3">
      <c r="C63" t="s">
        <v>24</v>
      </c>
      <c r="D63">
        <v>1</v>
      </c>
    </row>
    <row r="64" spans="3:4" x14ac:dyDescent="0.3">
      <c r="C64" t="s">
        <v>24</v>
      </c>
      <c r="D64">
        <v>1</v>
      </c>
    </row>
    <row r="65" spans="3:4" x14ac:dyDescent="0.3">
      <c r="C65" t="s">
        <v>24</v>
      </c>
      <c r="D65">
        <v>1</v>
      </c>
    </row>
    <row r="66" spans="3:4" x14ac:dyDescent="0.3">
      <c r="C66" t="s">
        <v>24</v>
      </c>
      <c r="D66">
        <v>1</v>
      </c>
    </row>
    <row r="67" spans="3:4" x14ac:dyDescent="0.3">
      <c r="C67" t="s">
        <v>24</v>
      </c>
      <c r="D67">
        <v>1</v>
      </c>
    </row>
    <row r="68" spans="3:4" x14ac:dyDescent="0.3">
      <c r="C68" t="s">
        <v>24</v>
      </c>
      <c r="D68">
        <v>1</v>
      </c>
    </row>
    <row r="69" spans="3:4" x14ac:dyDescent="0.3">
      <c r="C69" t="s">
        <v>24</v>
      </c>
      <c r="D69">
        <v>1</v>
      </c>
    </row>
    <row r="70" spans="3:4" x14ac:dyDescent="0.3">
      <c r="C70" t="s">
        <v>24</v>
      </c>
      <c r="D70">
        <v>1</v>
      </c>
    </row>
    <row r="71" spans="3:4" x14ac:dyDescent="0.3">
      <c r="C71" t="s">
        <v>24</v>
      </c>
      <c r="D71">
        <v>1</v>
      </c>
    </row>
    <row r="72" spans="3:4" x14ac:dyDescent="0.3">
      <c r="C72" t="s">
        <v>24</v>
      </c>
      <c r="D72">
        <v>1</v>
      </c>
    </row>
    <row r="73" spans="3:4" x14ac:dyDescent="0.3">
      <c r="C73" t="s">
        <v>24</v>
      </c>
      <c r="D73">
        <v>1</v>
      </c>
    </row>
    <row r="74" spans="3:4" x14ac:dyDescent="0.3">
      <c r="C74" t="s">
        <v>24</v>
      </c>
      <c r="D74">
        <v>1</v>
      </c>
    </row>
    <row r="75" spans="3:4" x14ac:dyDescent="0.3">
      <c r="C75" t="s">
        <v>24</v>
      </c>
      <c r="D75">
        <v>1</v>
      </c>
    </row>
    <row r="76" spans="3:4" x14ac:dyDescent="0.3">
      <c r="C76" t="s">
        <v>24</v>
      </c>
      <c r="D76">
        <v>1</v>
      </c>
    </row>
    <row r="77" spans="3:4" x14ac:dyDescent="0.3">
      <c r="C77" t="s">
        <v>24</v>
      </c>
      <c r="D77">
        <v>1</v>
      </c>
    </row>
    <row r="78" spans="3:4" x14ac:dyDescent="0.3">
      <c r="C78" t="s">
        <v>24</v>
      </c>
      <c r="D78">
        <v>1</v>
      </c>
    </row>
    <row r="79" spans="3:4" x14ac:dyDescent="0.3">
      <c r="C79" t="s">
        <v>24</v>
      </c>
      <c r="D79">
        <v>1</v>
      </c>
    </row>
    <row r="80" spans="3:4" x14ac:dyDescent="0.3">
      <c r="C80" t="s">
        <v>24</v>
      </c>
      <c r="D80">
        <v>1</v>
      </c>
    </row>
    <row r="81" spans="3:4" x14ac:dyDescent="0.3">
      <c r="C81" t="s">
        <v>24</v>
      </c>
      <c r="D81">
        <v>1</v>
      </c>
    </row>
    <row r="82" spans="3:4" x14ac:dyDescent="0.3">
      <c r="C82" t="s">
        <v>24</v>
      </c>
      <c r="D82">
        <v>1</v>
      </c>
    </row>
    <row r="83" spans="3:4" x14ac:dyDescent="0.3">
      <c r="C83" t="s">
        <v>24</v>
      </c>
      <c r="D83">
        <v>1</v>
      </c>
    </row>
    <row r="84" spans="3:4" x14ac:dyDescent="0.3">
      <c r="C84" t="s">
        <v>24</v>
      </c>
      <c r="D84">
        <v>1</v>
      </c>
    </row>
    <row r="85" spans="3:4" x14ac:dyDescent="0.3">
      <c r="C85" t="s">
        <v>24</v>
      </c>
      <c r="D85">
        <v>1</v>
      </c>
    </row>
    <row r="86" spans="3:4" x14ac:dyDescent="0.3">
      <c r="C86" t="s">
        <v>24</v>
      </c>
      <c r="D86">
        <v>1</v>
      </c>
    </row>
    <row r="87" spans="3:4" x14ac:dyDescent="0.3">
      <c r="C87" t="s">
        <v>24</v>
      </c>
      <c r="D87">
        <v>1</v>
      </c>
    </row>
    <row r="88" spans="3:4" x14ac:dyDescent="0.3">
      <c r="C88" t="s">
        <v>24</v>
      </c>
      <c r="D88">
        <v>1</v>
      </c>
    </row>
    <row r="89" spans="3:4" x14ac:dyDescent="0.3">
      <c r="C89" t="s">
        <v>24</v>
      </c>
      <c r="D89">
        <v>1</v>
      </c>
    </row>
    <row r="90" spans="3:4" x14ac:dyDescent="0.3">
      <c r="C90" t="s">
        <v>24</v>
      </c>
      <c r="D90">
        <v>1</v>
      </c>
    </row>
    <row r="91" spans="3:4" x14ac:dyDescent="0.3">
      <c r="C91" t="s">
        <v>24</v>
      </c>
      <c r="D91">
        <v>1</v>
      </c>
    </row>
    <row r="92" spans="3:4" x14ac:dyDescent="0.3">
      <c r="C92" t="s">
        <v>24</v>
      </c>
      <c r="D92">
        <v>1</v>
      </c>
    </row>
    <row r="93" spans="3:4" x14ac:dyDescent="0.3">
      <c r="C93" t="s">
        <v>24</v>
      </c>
      <c r="D93">
        <v>1</v>
      </c>
    </row>
    <row r="94" spans="3:4" x14ac:dyDescent="0.3">
      <c r="C94" t="s">
        <v>24</v>
      </c>
      <c r="D94">
        <v>1</v>
      </c>
    </row>
    <row r="95" spans="3:4" x14ac:dyDescent="0.3">
      <c r="C95" t="s">
        <v>24</v>
      </c>
      <c r="D95">
        <v>1</v>
      </c>
    </row>
    <row r="96" spans="3:4" x14ac:dyDescent="0.3">
      <c r="C96" t="s">
        <v>24</v>
      </c>
      <c r="D96">
        <v>1</v>
      </c>
    </row>
    <row r="97" spans="3:4" x14ac:dyDescent="0.3">
      <c r="C97" t="s">
        <v>24</v>
      </c>
      <c r="D97">
        <v>1</v>
      </c>
    </row>
    <row r="98" spans="3:4" x14ac:dyDescent="0.3">
      <c r="C98" t="s">
        <v>24</v>
      </c>
      <c r="D98">
        <v>1</v>
      </c>
    </row>
    <row r="99" spans="3:4" x14ac:dyDescent="0.3">
      <c r="C99" t="s">
        <v>24</v>
      </c>
      <c r="D99">
        <v>1</v>
      </c>
    </row>
    <row r="100" spans="3:4" x14ac:dyDescent="0.3">
      <c r="C100" t="s">
        <v>24</v>
      </c>
      <c r="D100">
        <v>1</v>
      </c>
    </row>
    <row r="101" spans="3:4" x14ac:dyDescent="0.3">
      <c r="C101" t="s">
        <v>24</v>
      </c>
      <c r="D101">
        <v>1</v>
      </c>
    </row>
    <row r="102" spans="3:4" x14ac:dyDescent="0.3">
      <c r="C102" t="s">
        <v>24</v>
      </c>
      <c r="D102">
        <v>1</v>
      </c>
    </row>
    <row r="103" spans="3:4" x14ac:dyDescent="0.3">
      <c r="C103" t="s">
        <v>24</v>
      </c>
      <c r="D103">
        <v>1</v>
      </c>
    </row>
    <row r="104" spans="3:4" x14ac:dyDescent="0.3">
      <c r="C104" t="s">
        <v>24</v>
      </c>
      <c r="D104">
        <v>1</v>
      </c>
    </row>
    <row r="105" spans="3:4" x14ac:dyDescent="0.3">
      <c r="C105" t="s">
        <v>24</v>
      </c>
      <c r="D105">
        <v>1</v>
      </c>
    </row>
    <row r="106" spans="3:4" x14ac:dyDescent="0.3">
      <c r="C106" t="s">
        <v>24</v>
      </c>
      <c r="D106">
        <v>1</v>
      </c>
    </row>
    <row r="107" spans="3:4" x14ac:dyDescent="0.3">
      <c r="C107" t="s">
        <v>24</v>
      </c>
      <c r="D107">
        <v>1</v>
      </c>
    </row>
    <row r="108" spans="3:4" x14ac:dyDescent="0.3">
      <c r="C108" t="s">
        <v>24</v>
      </c>
      <c r="D108">
        <v>1</v>
      </c>
    </row>
    <row r="109" spans="3:4" x14ac:dyDescent="0.3">
      <c r="C109" t="s">
        <v>24</v>
      </c>
      <c r="D109">
        <v>1</v>
      </c>
    </row>
    <row r="110" spans="3:4" x14ac:dyDescent="0.3">
      <c r="C110" t="s">
        <v>24</v>
      </c>
      <c r="D110">
        <v>1</v>
      </c>
    </row>
    <row r="111" spans="3:4" x14ac:dyDescent="0.3">
      <c r="C111" t="s">
        <v>24</v>
      </c>
      <c r="D111">
        <v>1</v>
      </c>
    </row>
    <row r="112" spans="3:4" x14ac:dyDescent="0.3">
      <c r="C112" t="s">
        <v>24</v>
      </c>
      <c r="D112">
        <v>1</v>
      </c>
    </row>
    <row r="113" spans="3:4" x14ac:dyDescent="0.3">
      <c r="C113" t="s">
        <v>24</v>
      </c>
      <c r="D113">
        <v>1</v>
      </c>
    </row>
    <row r="114" spans="3:4" x14ac:dyDescent="0.3">
      <c r="C114" t="s">
        <v>24</v>
      </c>
      <c r="D114">
        <v>1</v>
      </c>
    </row>
    <row r="115" spans="3:4" x14ac:dyDescent="0.3">
      <c r="C115" t="s">
        <v>24</v>
      </c>
      <c r="D115">
        <v>1</v>
      </c>
    </row>
    <row r="116" spans="3:4" x14ac:dyDescent="0.3">
      <c r="C116" t="s">
        <v>24</v>
      </c>
      <c r="D116">
        <v>1</v>
      </c>
    </row>
    <row r="117" spans="3:4" x14ac:dyDescent="0.3">
      <c r="C117" t="s">
        <v>24</v>
      </c>
      <c r="D117">
        <v>1</v>
      </c>
    </row>
    <row r="118" spans="3:4" x14ac:dyDescent="0.3">
      <c r="C118" t="s">
        <v>24</v>
      </c>
      <c r="D118">
        <v>1</v>
      </c>
    </row>
    <row r="119" spans="3:4" x14ac:dyDescent="0.3">
      <c r="C119" t="s">
        <v>24</v>
      </c>
      <c r="D119">
        <v>1</v>
      </c>
    </row>
    <row r="120" spans="3:4" x14ac:dyDescent="0.3">
      <c r="C120" t="s">
        <v>24</v>
      </c>
      <c r="D120">
        <v>1</v>
      </c>
    </row>
    <row r="121" spans="3:4" x14ac:dyDescent="0.3">
      <c r="C121" t="s">
        <v>24</v>
      </c>
      <c r="D121">
        <v>1</v>
      </c>
    </row>
    <row r="122" spans="3:4" x14ac:dyDescent="0.3">
      <c r="C122" t="s">
        <v>24</v>
      </c>
      <c r="D122">
        <v>1</v>
      </c>
    </row>
    <row r="123" spans="3:4" x14ac:dyDescent="0.3">
      <c r="C123" t="s">
        <v>24</v>
      </c>
      <c r="D123">
        <v>1</v>
      </c>
    </row>
    <row r="124" spans="3:4" x14ac:dyDescent="0.3">
      <c r="C124" t="s">
        <v>24</v>
      </c>
      <c r="D124">
        <v>1</v>
      </c>
    </row>
    <row r="125" spans="3:4" x14ac:dyDescent="0.3">
      <c r="C125" t="s">
        <v>24</v>
      </c>
      <c r="D125">
        <v>1</v>
      </c>
    </row>
    <row r="126" spans="3:4" x14ac:dyDescent="0.3">
      <c r="C126" t="s">
        <v>24</v>
      </c>
      <c r="D126">
        <v>1</v>
      </c>
    </row>
    <row r="127" spans="3:4" x14ac:dyDescent="0.3">
      <c r="C127" t="s">
        <v>24</v>
      </c>
      <c r="D127">
        <v>1</v>
      </c>
    </row>
    <row r="128" spans="3:4" x14ac:dyDescent="0.3">
      <c r="C128" t="s">
        <v>24</v>
      </c>
      <c r="D128">
        <v>1</v>
      </c>
    </row>
    <row r="129" spans="3:4" x14ac:dyDescent="0.3">
      <c r="C129" t="s">
        <v>24</v>
      </c>
      <c r="D129">
        <v>1</v>
      </c>
    </row>
    <row r="130" spans="3:4" x14ac:dyDescent="0.3">
      <c r="C130" t="s">
        <v>24</v>
      </c>
      <c r="D130">
        <v>1</v>
      </c>
    </row>
    <row r="131" spans="3:4" x14ac:dyDescent="0.3">
      <c r="C131" t="s">
        <v>24</v>
      </c>
      <c r="D131">
        <v>1</v>
      </c>
    </row>
    <row r="132" spans="3:4" x14ac:dyDescent="0.3">
      <c r="C132" t="s">
        <v>24</v>
      </c>
      <c r="D132">
        <v>1</v>
      </c>
    </row>
    <row r="133" spans="3:4" x14ac:dyDescent="0.3">
      <c r="C133" t="s">
        <v>24</v>
      </c>
      <c r="D133">
        <v>1</v>
      </c>
    </row>
    <row r="134" spans="3:4" x14ac:dyDescent="0.3">
      <c r="C134" t="s">
        <v>24</v>
      </c>
      <c r="D134">
        <v>1</v>
      </c>
    </row>
    <row r="135" spans="3:4" x14ac:dyDescent="0.3">
      <c r="C135" t="s">
        <v>24</v>
      </c>
      <c r="D135">
        <v>1</v>
      </c>
    </row>
    <row r="136" spans="3:4" x14ac:dyDescent="0.3">
      <c r="C136" t="s">
        <v>24</v>
      </c>
      <c r="D136">
        <v>1</v>
      </c>
    </row>
    <row r="137" spans="3:4" x14ac:dyDescent="0.3">
      <c r="C137" t="s">
        <v>24</v>
      </c>
      <c r="D137">
        <v>1</v>
      </c>
    </row>
    <row r="138" spans="3:4" x14ac:dyDescent="0.3">
      <c r="C138" t="s">
        <v>24</v>
      </c>
      <c r="D138">
        <v>1</v>
      </c>
    </row>
    <row r="139" spans="3:4" x14ac:dyDescent="0.3">
      <c r="C139" t="s">
        <v>24</v>
      </c>
      <c r="D139">
        <v>1</v>
      </c>
    </row>
    <row r="140" spans="3:4" x14ac:dyDescent="0.3">
      <c r="C140" t="s">
        <v>24</v>
      </c>
      <c r="D140">
        <v>1</v>
      </c>
    </row>
    <row r="141" spans="3:4" x14ac:dyDescent="0.3">
      <c r="C141" t="s">
        <v>24</v>
      </c>
      <c r="D141">
        <v>1</v>
      </c>
    </row>
    <row r="142" spans="3:4" x14ac:dyDescent="0.3">
      <c r="C142" t="s">
        <v>24</v>
      </c>
      <c r="D142">
        <v>1</v>
      </c>
    </row>
    <row r="143" spans="3:4" x14ac:dyDescent="0.3">
      <c r="C143" t="s">
        <v>24</v>
      </c>
      <c r="D143">
        <v>1</v>
      </c>
    </row>
    <row r="144" spans="3:4" x14ac:dyDescent="0.3">
      <c r="C144" t="s">
        <v>24</v>
      </c>
      <c r="D144">
        <v>1</v>
      </c>
    </row>
    <row r="145" spans="3:4" x14ac:dyDescent="0.3">
      <c r="C145" t="s">
        <v>24</v>
      </c>
      <c r="D145">
        <v>1</v>
      </c>
    </row>
    <row r="146" spans="3:4" x14ac:dyDescent="0.3">
      <c r="C146" t="s">
        <v>24</v>
      </c>
      <c r="D146">
        <v>1</v>
      </c>
    </row>
    <row r="147" spans="3:4" x14ac:dyDescent="0.3">
      <c r="C147" t="s">
        <v>24</v>
      </c>
      <c r="D147">
        <v>1</v>
      </c>
    </row>
    <row r="148" spans="3:4" x14ac:dyDescent="0.3">
      <c r="C148" t="s">
        <v>24</v>
      </c>
      <c r="D148">
        <v>1</v>
      </c>
    </row>
    <row r="149" spans="3:4" x14ac:dyDescent="0.3">
      <c r="C149" t="s">
        <v>24</v>
      </c>
      <c r="D149">
        <v>1</v>
      </c>
    </row>
    <row r="150" spans="3:4" x14ac:dyDescent="0.3">
      <c r="C150" t="s">
        <v>24</v>
      </c>
      <c r="D150">
        <v>1</v>
      </c>
    </row>
    <row r="151" spans="3:4" x14ac:dyDescent="0.3">
      <c r="C151" t="s">
        <v>24</v>
      </c>
      <c r="D151">
        <v>1</v>
      </c>
    </row>
    <row r="152" spans="3:4" x14ac:dyDescent="0.3">
      <c r="C152" t="s">
        <v>24</v>
      </c>
      <c r="D152">
        <v>1</v>
      </c>
    </row>
    <row r="153" spans="3:4" x14ac:dyDescent="0.3">
      <c r="C153" t="s">
        <v>24</v>
      </c>
      <c r="D153">
        <v>1</v>
      </c>
    </row>
    <row r="154" spans="3:4" x14ac:dyDescent="0.3">
      <c r="C154" t="s">
        <v>24</v>
      </c>
      <c r="D154">
        <v>1</v>
      </c>
    </row>
    <row r="155" spans="3:4" x14ac:dyDescent="0.3">
      <c r="C155" t="s">
        <v>24</v>
      </c>
      <c r="D155">
        <v>1</v>
      </c>
    </row>
    <row r="156" spans="3:4" x14ac:dyDescent="0.3">
      <c r="C156" t="s">
        <v>24</v>
      </c>
      <c r="D156">
        <v>1</v>
      </c>
    </row>
    <row r="157" spans="3:4" x14ac:dyDescent="0.3">
      <c r="C157" t="s">
        <v>24</v>
      </c>
      <c r="D157">
        <v>1</v>
      </c>
    </row>
    <row r="158" spans="3:4" x14ac:dyDescent="0.3">
      <c r="C158" t="s">
        <v>24</v>
      </c>
      <c r="D158">
        <v>1</v>
      </c>
    </row>
    <row r="159" spans="3:4" x14ac:dyDescent="0.3">
      <c r="C159" t="s">
        <v>24</v>
      </c>
      <c r="D159">
        <v>1</v>
      </c>
    </row>
    <row r="160" spans="3:4" x14ac:dyDescent="0.3">
      <c r="C160" t="s">
        <v>24</v>
      </c>
      <c r="D160">
        <v>1</v>
      </c>
    </row>
    <row r="161" spans="3:4" x14ac:dyDescent="0.3">
      <c r="C161" t="s">
        <v>24</v>
      </c>
      <c r="D161">
        <v>1</v>
      </c>
    </row>
    <row r="162" spans="3:4" x14ac:dyDescent="0.3">
      <c r="C162" t="s">
        <v>24</v>
      </c>
      <c r="D162">
        <v>1</v>
      </c>
    </row>
    <row r="163" spans="3:4" x14ac:dyDescent="0.3">
      <c r="C163" t="s">
        <v>24</v>
      </c>
      <c r="D163">
        <v>1</v>
      </c>
    </row>
    <row r="164" spans="3:4" x14ac:dyDescent="0.3">
      <c r="C164" t="s">
        <v>24</v>
      </c>
      <c r="D164">
        <v>1</v>
      </c>
    </row>
    <row r="165" spans="3:4" x14ac:dyDescent="0.3">
      <c r="C165" t="s">
        <v>24</v>
      </c>
      <c r="D165">
        <v>1</v>
      </c>
    </row>
    <row r="166" spans="3:4" x14ac:dyDescent="0.3">
      <c r="C166" t="s">
        <v>24</v>
      </c>
      <c r="D166">
        <v>1</v>
      </c>
    </row>
    <row r="167" spans="3:4" x14ac:dyDescent="0.3">
      <c r="C167" t="s">
        <v>24</v>
      </c>
      <c r="D167">
        <v>1</v>
      </c>
    </row>
    <row r="168" spans="3:4" x14ac:dyDescent="0.3">
      <c r="C168" t="s">
        <v>24</v>
      </c>
      <c r="D168">
        <v>1</v>
      </c>
    </row>
    <row r="169" spans="3:4" x14ac:dyDescent="0.3">
      <c r="C169" t="s">
        <v>24</v>
      </c>
      <c r="D169">
        <v>1</v>
      </c>
    </row>
    <row r="170" spans="3:4" x14ac:dyDescent="0.3">
      <c r="C170" t="s">
        <v>24</v>
      </c>
      <c r="D170">
        <v>1</v>
      </c>
    </row>
    <row r="171" spans="3:4" x14ac:dyDescent="0.3">
      <c r="C171" t="s">
        <v>24</v>
      </c>
      <c r="D171">
        <v>1</v>
      </c>
    </row>
    <row r="172" spans="3:4" x14ac:dyDescent="0.3">
      <c r="C172" t="s">
        <v>24</v>
      </c>
      <c r="D172">
        <v>1</v>
      </c>
    </row>
    <row r="173" spans="3:4" x14ac:dyDescent="0.3">
      <c r="C173" t="s">
        <v>27</v>
      </c>
      <c r="D173">
        <v>2</v>
      </c>
    </row>
    <row r="174" spans="3:4" x14ac:dyDescent="0.3">
      <c r="C174" t="s">
        <v>27</v>
      </c>
      <c r="D174">
        <v>2</v>
      </c>
    </row>
    <row r="175" spans="3:4" x14ac:dyDescent="0.3">
      <c r="C175" t="s">
        <v>27</v>
      </c>
      <c r="D175">
        <v>2</v>
      </c>
    </row>
    <row r="176" spans="3:4" x14ac:dyDescent="0.3">
      <c r="C176" t="s">
        <v>27</v>
      </c>
      <c r="D176">
        <v>2</v>
      </c>
    </row>
    <row r="177" spans="3:4" x14ac:dyDescent="0.3">
      <c r="C177" t="s">
        <v>27</v>
      </c>
      <c r="D177">
        <v>2</v>
      </c>
    </row>
    <row r="178" spans="3:4" x14ac:dyDescent="0.3">
      <c r="C178" t="s">
        <v>27</v>
      </c>
      <c r="D178">
        <v>2</v>
      </c>
    </row>
    <row r="179" spans="3:4" x14ac:dyDescent="0.3">
      <c r="C179" t="s">
        <v>27</v>
      </c>
      <c r="D179">
        <v>2</v>
      </c>
    </row>
    <row r="180" spans="3:4" x14ac:dyDescent="0.3">
      <c r="C180" t="s">
        <v>27</v>
      </c>
      <c r="D180">
        <v>2</v>
      </c>
    </row>
    <row r="181" spans="3:4" x14ac:dyDescent="0.3">
      <c r="C181" t="s">
        <v>27</v>
      </c>
      <c r="D181">
        <v>2</v>
      </c>
    </row>
    <row r="182" spans="3:4" x14ac:dyDescent="0.3">
      <c r="C182" t="s">
        <v>27</v>
      </c>
      <c r="D182">
        <v>2</v>
      </c>
    </row>
    <row r="183" spans="3:4" x14ac:dyDescent="0.3">
      <c r="C183" t="s">
        <v>27</v>
      </c>
      <c r="D183">
        <v>2</v>
      </c>
    </row>
    <row r="184" spans="3:4" x14ac:dyDescent="0.3">
      <c r="C184" t="s">
        <v>27</v>
      </c>
      <c r="D184">
        <v>2</v>
      </c>
    </row>
    <row r="185" spans="3:4" x14ac:dyDescent="0.3">
      <c r="C185" t="s">
        <v>27</v>
      </c>
      <c r="D185">
        <v>2</v>
      </c>
    </row>
    <row r="186" spans="3:4" x14ac:dyDescent="0.3">
      <c r="C186" t="s">
        <v>27</v>
      </c>
      <c r="D186">
        <v>2</v>
      </c>
    </row>
    <row r="187" spans="3:4" x14ac:dyDescent="0.3">
      <c r="C187" t="s">
        <v>27</v>
      </c>
      <c r="D187">
        <v>2</v>
      </c>
    </row>
    <row r="188" spans="3:4" x14ac:dyDescent="0.3">
      <c r="C188" t="s">
        <v>27</v>
      </c>
      <c r="D188">
        <v>2</v>
      </c>
    </row>
    <row r="189" spans="3:4" x14ac:dyDescent="0.3">
      <c r="C189" t="s">
        <v>27</v>
      </c>
      <c r="D189">
        <v>2</v>
      </c>
    </row>
    <row r="190" spans="3:4" x14ac:dyDescent="0.3">
      <c r="C190" t="s">
        <v>27</v>
      </c>
      <c r="D190">
        <v>2</v>
      </c>
    </row>
    <row r="191" spans="3:4" x14ac:dyDescent="0.3">
      <c r="C191" t="s">
        <v>27</v>
      </c>
      <c r="D191">
        <v>2</v>
      </c>
    </row>
    <row r="192" spans="3:4" x14ac:dyDescent="0.3">
      <c r="C192" t="s">
        <v>27</v>
      </c>
      <c r="D192">
        <v>2</v>
      </c>
    </row>
    <row r="193" spans="3:4" x14ac:dyDescent="0.3">
      <c r="C193" t="s">
        <v>27</v>
      </c>
      <c r="D193">
        <v>2</v>
      </c>
    </row>
    <row r="194" spans="3:4" x14ac:dyDescent="0.3">
      <c r="C194" t="s">
        <v>27</v>
      </c>
      <c r="D194">
        <v>2</v>
      </c>
    </row>
    <row r="195" spans="3:4" x14ac:dyDescent="0.3">
      <c r="C195" t="s">
        <v>21</v>
      </c>
      <c r="D195">
        <v>3</v>
      </c>
    </row>
    <row r="196" spans="3:4" x14ac:dyDescent="0.3">
      <c r="C196" t="s">
        <v>21</v>
      </c>
      <c r="D196">
        <v>3</v>
      </c>
    </row>
    <row r="197" spans="3:4" x14ac:dyDescent="0.3">
      <c r="C197" t="s">
        <v>21</v>
      </c>
      <c r="D197">
        <v>3</v>
      </c>
    </row>
    <row r="198" spans="3:4" x14ac:dyDescent="0.3">
      <c r="C198" t="s">
        <v>21</v>
      </c>
      <c r="D198">
        <v>3</v>
      </c>
    </row>
    <row r="199" spans="3:4" x14ac:dyDescent="0.3">
      <c r="C199" t="s">
        <v>21</v>
      </c>
      <c r="D199">
        <v>3</v>
      </c>
    </row>
    <row r="200" spans="3:4" x14ac:dyDescent="0.3">
      <c r="C200" t="s">
        <v>21</v>
      </c>
      <c r="D200">
        <v>3</v>
      </c>
    </row>
    <row r="201" spans="3:4" x14ac:dyDescent="0.3">
      <c r="C201" t="s">
        <v>21</v>
      </c>
      <c r="D201">
        <v>3</v>
      </c>
    </row>
    <row r="202" spans="3:4" x14ac:dyDescent="0.3">
      <c r="C202" t="s">
        <v>21</v>
      </c>
      <c r="D202">
        <v>3</v>
      </c>
    </row>
    <row r="203" spans="3:4" x14ac:dyDescent="0.3">
      <c r="C203" t="s">
        <v>21</v>
      </c>
      <c r="D203">
        <v>3</v>
      </c>
    </row>
    <row r="204" spans="3:4" x14ac:dyDescent="0.3">
      <c r="C204" t="s">
        <v>21</v>
      </c>
      <c r="D204">
        <v>3</v>
      </c>
    </row>
    <row r="205" spans="3:4" x14ac:dyDescent="0.3">
      <c r="C205" t="s">
        <v>21</v>
      </c>
      <c r="D205">
        <v>3</v>
      </c>
    </row>
    <row r="206" spans="3:4" x14ac:dyDescent="0.3">
      <c r="C206" t="s">
        <v>21</v>
      </c>
      <c r="D206">
        <v>3</v>
      </c>
    </row>
    <row r="207" spans="3:4" x14ac:dyDescent="0.3">
      <c r="C207" t="s">
        <v>21</v>
      </c>
      <c r="D207">
        <v>3</v>
      </c>
    </row>
    <row r="208" spans="3:4" x14ac:dyDescent="0.3">
      <c r="C208" t="s">
        <v>21</v>
      </c>
      <c r="D208">
        <v>3</v>
      </c>
    </row>
    <row r="209" spans="3:4" x14ac:dyDescent="0.3">
      <c r="C209" t="s">
        <v>21</v>
      </c>
      <c r="D209">
        <v>3</v>
      </c>
    </row>
    <row r="210" spans="3:4" x14ac:dyDescent="0.3">
      <c r="C210" t="s">
        <v>21</v>
      </c>
      <c r="D210">
        <v>3</v>
      </c>
    </row>
    <row r="211" spans="3:4" x14ac:dyDescent="0.3">
      <c r="C211" t="s">
        <v>21</v>
      </c>
      <c r="D211">
        <v>3</v>
      </c>
    </row>
    <row r="214" spans="3:4" x14ac:dyDescent="0.3">
      <c r="C214" t="s">
        <v>47</v>
      </c>
      <c r="D214" s="3">
        <f>AVERAGE(D$3:D$211)</f>
        <v>1.2679425837320575</v>
      </c>
    </row>
    <row r="216" spans="3:4" ht="15.6" x14ac:dyDescent="0.3">
      <c r="C216" t="s">
        <v>48</v>
      </c>
      <c r="D216" s="4">
        <f>STDEV(D$3:D$211)</f>
        <v>0.60046142237819589</v>
      </c>
    </row>
    <row r="219" spans="3:4" x14ac:dyDescent="0.3">
      <c r="C219" t="s">
        <v>49</v>
      </c>
      <c r="D219">
        <f>MIN(D$3:D$211)</f>
        <v>1</v>
      </c>
    </row>
    <row r="221" spans="3:4" x14ac:dyDescent="0.3">
      <c r="C221" t="s">
        <v>50</v>
      </c>
      <c r="D221" s="3">
        <f>QUARTILE(D$3:D$211,1)</f>
        <v>1</v>
      </c>
    </row>
    <row r="223" spans="3:4" x14ac:dyDescent="0.3">
      <c r="C223" t="s">
        <v>51</v>
      </c>
      <c r="D223" s="3">
        <f>MEDIAN(D$3:D$211)</f>
        <v>1</v>
      </c>
    </row>
    <row r="225" spans="3:4" x14ac:dyDescent="0.3">
      <c r="C225" t="s">
        <v>52</v>
      </c>
      <c r="D225">
        <f>QUARTILE(D$3:D$211,3)</f>
        <v>1</v>
      </c>
    </row>
    <row r="227" spans="3:4" x14ac:dyDescent="0.3">
      <c r="C227" t="s">
        <v>53</v>
      </c>
      <c r="D227">
        <f>MAX(D$3:D$211)</f>
        <v>3</v>
      </c>
    </row>
    <row r="229" spans="3:4" x14ac:dyDescent="0.3">
      <c r="C229" t="s">
        <v>54</v>
      </c>
      <c r="D229">
        <f>D227-D219</f>
        <v>2</v>
      </c>
    </row>
    <row r="231" spans="3:4" x14ac:dyDescent="0.3">
      <c r="C231" t="s">
        <v>55</v>
      </c>
      <c r="D231">
        <f>D221-D225</f>
        <v>0</v>
      </c>
    </row>
    <row r="233" spans="3:4" x14ac:dyDescent="0.3">
      <c r="C233" t="s">
        <v>56</v>
      </c>
      <c r="D233">
        <f>MODE(D$3:D$211)</f>
        <v>1</v>
      </c>
    </row>
  </sheetData>
  <sortState xmlns:xlrd2="http://schemas.microsoft.com/office/spreadsheetml/2017/richdata2" ref="C3:C211">
    <sortCondition ref="C3:C211"/>
  </sortState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E2288-D20E-4238-A142-B99DA9FEDD82}">
  <dimension ref="B1:L233"/>
  <sheetViews>
    <sheetView workbookViewId="0">
      <selection activeCell="H211" sqref="H211"/>
    </sheetView>
  </sheetViews>
  <sheetFormatPr defaultRowHeight="14.4" x14ac:dyDescent="0.3"/>
  <cols>
    <col min="7" max="7" width="13.109375" customWidth="1"/>
  </cols>
  <sheetData>
    <row r="1" spans="3:12" x14ac:dyDescent="0.3">
      <c r="C1">
        <v>10</v>
      </c>
      <c r="D1">
        <v>10</v>
      </c>
    </row>
    <row r="2" spans="3:12" x14ac:dyDescent="0.3">
      <c r="C2" t="s">
        <v>9</v>
      </c>
      <c r="D2" t="s">
        <v>9</v>
      </c>
      <c r="G2" t="s">
        <v>58</v>
      </c>
      <c r="H2" t="s">
        <v>115</v>
      </c>
    </row>
    <row r="3" spans="3:12" x14ac:dyDescent="0.3">
      <c r="C3">
        <v>0.3</v>
      </c>
      <c r="D3">
        <v>0.3</v>
      </c>
      <c r="G3" t="s">
        <v>116</v>
      </c>
      <c r="H3" t="s">
        <v>61</v>
      </c>
      <c r="I3" s="8"/>
    </row>
    <row r="4" spans="3:12" ht="15.6" x14ac:dyDescent="0.3">
      <c r="C4">
        <v>0.3</v>
      </c>
      <c r="D4">
        <v>0.3</v>
      </c>
      <c r="G4" t="s">
        <v>164</v>
      </c>
      <c r="H4">
        <v>5</v>
      </c>
      <c r="I4" s="20" t="s">
        <v>165</v>
      </c>
      <c r="L4" t="s">
        <v>168</v>
      </c>
    </row>
    <row r="5" spans="3:12" ht="15.6" x14ac:dyDescent="0.3">
      <c r="C5">
        <v>0.3</v>
      </c>
      <c r="D5">
        <v>0.3</v>
      </c>
      <c r="I5" s="9"/>
    </row>
    <row r="6" spans="3:12" x14ac:dyDescent="0.3">
      <c r="C6">
        <v>0.4</v>
      </c>
      <c r="D6">
        <v>0.4</v>
      </c>
    </row>
    <row r="7" spans="3:12" x14ac:dyDescent="0.3">
      <c r="C7">
        <v>0.4</v>
      </c>
      <c r="D7">
        <v>0.4</v>
      </c>
    </row>
    <row r="8" spans="3:12" x14ac:dyDescent="0.3">
      <c r="C8">
        <v>0.4</v>
      </c>
      <c r="D8">
        <v>0.4</v>
      </c>
      <c r="G8" t="s">
        <v>117</v>
      </c>
    </row>
    <row r="9" spans="3:12" x14ac:dyDescent="0.3">
      <c r="C9">
        <v>0.4</v>
      </c>
      <c r="D9">
        <v>0.4</v>
      </c>
      <c r="I9" t="s">
        <v>75</v>
      </c>
    </row>
    <row r="10" spans="3:12" x14ac:dyDescent="0.3">
      <c r="C10">
        <v>0.5</v>
      </c>
      <c r="D10">
        <v>0.5</v>
      </c>
      <c r="G10" t="s">
        <v>118</v>
      </c>
      <c r="H10" t="s">
        <v>119</v>
      </c>
      <c r="I10">
        <v>0</v>
      </c>
    </row>
    <row r="11" spans="3:12" x14ac:dyDescent="0.3">
      <c r="C11">
        <v>0.5</v>
      </c>
      <c r="D11">
        <v>0.5</v>
      </c>
      <c r="G11" t="s">
        <v>120</v>
      </c>
      <c r="H11" t="s">
        <v>121</v>
      </c>
      <c r="I11">
        <f>+COUNT(D3:D126)+6</f>
        <v>130</v>
      </c>
    </row>
    <row r="12" spans="3:12" x14ac:dyDescent="0.3">
      <c r="C12">
        <v>0.5</v>
      </c>
      <c r="D12">
        <v>0.5</v>
      </c>
      <c r="G12" t="s">
        <v>122</v>
      </c>
      <c r="H12" t="s">
        <v>123</v>
      </c>
      <c r="I12">
        <f>+COUNT(D127:D149)</f>
        <v>23</v>
      </c>
    </row>
    <row r="13" spans="3:12" x14ac:dyDescent="0.3">
      <c r="C13">
        <v>0.5</v>
      </c>
      <c r="D13">
        <v>0.5</v>
      </c>
      <c r="G13" t="s">
        <v>124</v>
      </c>
      <c r="H13" t="s">
        <v>125</v>
      </c>
      <c r="I13">
        <f>+COUNT(D150:D211)</f>
        <v>62</v>
      </c>
    </row>
    <row r="14" spans="3:12" x14ac:dyDescent="0.3">
      <c r="C14">
        <v>0.5</v>
      </c>
      <c r="D14">
        <v>0.5</v>
      </c>
    </row>
    <row r="15" spans="3:12" x14ac:dyDescent="0.3">
      <c r="C15">
        <v>0.5</v>
      </c>
      <c r="D15">
        <v>0.5</v>
      </c>
    </row>
    <row r="16" spans="3:12" x14ac:dyDescent="0.3">
      <c r="C16">
        <v>0.5</v>
      </c>
      <c r="D16">
        <v>0.5</v>
      </c>
    </row>
    <row r="17" spans="3:4" x14ac:dyDescent="0.3">
      <c r="C17">
        <v>0.5</v>
      </c>
      <c r="D17">
        <v>0.5</v>
      </c>
    </row>
    <row r="18" spans="3:4" x14ac:dyDescent="0.3">
      <c r="C18">
        <v>0.5</v>
      </c>
      <c r="D18">
        <v>0.5</v>
      </c>
    </row>
    <row r="19" spans="3:4" x14ac:dyDescent="0.3">
      <c r="C19">
        <v>0.5</v>
      </c>
      <c r="D19">
        <v>0.5</v>
      </c>
    </row>
    <row r="20" spans="3:4" x14ac:dyDescent="0.3">
      <c r="C20">
        <v>0.5</v>
      </c>
      <c r="D20">
        <v>0.5</v>
      </c>
    </row>
    <row r="21" spans="3:4" x14ac:dyDescent="0.3">
      <c r="C21">
        <v>0.5</v>
      </c>
      <c r="D21">
        <v>0.5</v>
      </c>
    </row>
    <row r="22" spans="3:4" x14ac:dyDescent="0.3">
      <c r="C22">
        <v>0.6</v>
      </c>
      <c r="D22">
        <v>0.6</v>
      </c>
    </row>
    <row r="23" spans="3:4" x14ac:dyDescent="0.3">
      <c r="C23">
        <v>0.6</v>
      </c>
      <c r="D23">
        <v>0.6</v>
      </c>
    </row>
    <row r="24" spans="3:4" x14ac:dyDescent="0.3">
      <c r="C24">
        <v>0.6</v>
      </c>
      <c r="D24">
        <v>0.6</v>
      </c>
    </row>
    <row r="25" spans="3:4" x14ac:dyDescent="0.3">
      <c r="C25">
        <v>0.6</v>
      </c>
      <c r="D25">
        <v>0.6</v>
      </c>
    </row>
    <row r="26" spans="3:4" x14ac:dyDescent="0.3">
      <c r="C26">
        <v>0.6</v>
      </c>
      <c r="D26">
        <v>0.6</v>
      </c>
    </row>
    <row r="27" spans="3:4" x14ac:dyDescent="0.3">
      <c r="C27">
        <v>0.6</v>
      </c>
      <c r="D27">
        <v>0.6</v>
      </c>
    </row>
    <row r="28" spans="3:4" x14ac:dyDescent="0.3">
      <c r="C28">
        <v>0.6</v>
      </c>
      <c r="D28">
        <v>0.6</v>
      </c>
    </row>
    <row r="29" spans="3:4" x14ac:dyDescent="0.3">
      <c r="C29">
        <v>0.6</v>
      </c>
      <c r="D29">
        <v>0.6</v>
      </c>
    </row>
    <row r="30" spans="3:4" x14ac:dyDescent="0.3">
      <c r="C30">
        <v>0.6</v>
      </c>
      <c r="D30">
        <v>0.6</v>
      </c>
    </row>
    <row r="31" spans="3:4" x14ac:dyDescent="0.3">
      <c r="C31">
        <v>0.6</v>
      </c>
      <c r="D31">
        <v>0.6</v>
      </c>
    </row>
    <row r="32" spans="3:4" x14ac:dyDescent="0.3">
      <c r="C32">
        <v>0.6</v>
      </c>
      <c r="D32">
        <v>0.6</v>
      </c>
    </row>
    <row r="33" spans="3:4" x14ac:dyDescent="0.3">
      <c r="C33">
        <v>0.6</v>
      </c>
      <c r="D33">
        <v>0.6</v>
      </c>
    </row>
    <row r="34" spans="3:4" x14ac:dyDescent="0.3">
      <c r="C34">
        <v>0.6</v>
      </c>
      <c r="D34">
        <v>0.6</v>
      </c>
    </row>
    <row r="35" spans="3:4" x14ac:dyDescent="0.3">
      <c r="C35">
        <v>0.6</v>
      </c>
      <c r="D35">
        <v>0.6</v>
      </c>
    </row>
    <row r="36" spans="3:4" x14ac:dyDescent="0.3">
      <c r="C36">
        <v>0.6</v>
      </c>
      <c r="D36">
        <v>0.6</v>
      </c>
    </row>
    <row r="37" spans="3:4" x14ac:dyDescent="0.3">
      <c r="C37">
        <v>0.6</v>
      </c>
      <c r="D37">
        <v>0.6</v>
      </c>
    </row>
    <row r="38" spans="3:4" x14ac:dyDescent="0.3">
      <c r="C38">
        <v>0.7</v>
      </c>
      <c r="D38">
        <v>0.7</v>
      </c>
    </row>
    <row r="39" spans="3:4" x14ac:dyDescent="0.3">
      <c r="C39">
        <v>0.7</v>
      </c>
      <c r="D39">
        <v>0.7</v>
      </c>
    </row>
    <row r="40" spans="3:4" x14ac:dyDescent="0.3">
      <c r="C40">
        <v>0.7</v>
      </c>
      <c r="D40">
        <v>0.7</v>
      </c>
    </row>
    <row r="41" spans="3:4" x14ac:dyDescent="0.3">
      <c r="C41">
        <v>0.7</v>
      </c>
      <c r="D41">
        <v>0.7</v>
      </c>
    </row>
    <row r="42" spans="3:4" x14ac:dyDescent="0.3">
      <c r="C42">
        <v>0.7</v>
      </c>
      <c r="D42">
        <v>0.7</v>
      </c>
    </row>
    <row r="43" spans="3:4" x14ac:dyDescent="0.3">
      <c r="C43">
        <v>0.7</v>
      </c>
      <c r="D43">
        <v>0.7</v>
      </c>
    </row>
    <row r="44" spans="3:4" x14ac:dyDescent="0.3">
      <c r="C44">
        <v>0.7</v>
      </c>
      <c r="D44">
        <v>0.7</v>
      </c>
    </row>
    <row r="45" spans="3:4" x14ac:dyDescent="0.3">
      <c r="C45">
        <v>0.7</v>
      </c>
      <c r="D45">
        <v>0.7</v>
      </c>
    </row>
    <row r="46" spans="3:4" x14ac:dyDescent="0.3">
      <c r="C46">
        <v>0.7</v>
      </c>
      <c r="D46">
        <v>0.7</v>
      </c>
    </row>
    <row r="47" spans="3:4" x14ac:dyDescent="0.3">
      <c r="C47">
        <v>0.7</v>
      </c>
      <c r="D47">
        <v>0.7</v>
      </c>
    </row>
    <row r="48" spans="3:4" x14ac:dyDescent="0.3">
      <c r="C48">
        <v>0.7</v>
      </c>
      <c r="D48">
        <v>0.7</v>
      </c>
    </row>
    <row r="49" spans="3:4" x14ac:dyDescent="0.3">
      <c r="C49">
        <v>0.7</v>
      </c>
      <c r="D49">
        <v>0.7</v>
      </c>
    </row>
    <row r="50" spans="3:4" x14ac:dyDescent="0.3">
      <c r="C50">
        <v>0.7</v>
      </c>
      <c r="D50">
        <v>0.7</v>
      </c>
    </row>
    <row r="51" spans="3:4" x14ac:dyDescent="0.3">
      <c r="C51">
        <v>0.7</v>
      </c>
      <c r="D51">
        <v>0.7</v>
      </c>
    </row>
    <row r="52" spans="3:4" x14ac:dyDescent="0.3">
      <c r="C52">
        <v>0.8</v>
      </c>
      <c r="D52">
        <v>0.8</v>
      </c>
    </row>
    <row r="53" spans="3:4" x14ac:dyDescent="0.3">
      <c r="C53">
        <v>0.8</v>
      </c>
      <c r="D53">
        <v>0.8</v>
      </c>
    </row>
    <row r="54" spans="3:4" x14ac:dyDescent="0.3">
      <c r="C54">
        <v>0.8</v>
      </c>
      <c r="D54">
        <v>0.8</v>
      </c>
    </row>
    <row r="55" spans="3:4" x14ac:dyDescent="0.3">
      <c r="C55">
        <v>0.8</v>
      </c>
      <c r="D55">
        <v>0.8</v>
      </c>
    </row>
    <row r="56" spans="3:4" x14ac:dyDescent="0.3">
      <c r="C56">
        <v>0.8</v>
      </c>
      <c r="D56">
        <v>0.8</v>
      </c>
    </row>
    <row r="57" spans="3:4" x14ac:dyDescent="0.3">
      <c r="C57">
        <v>0.8</v>
      </c>
      <c r="D57">
        <v>0.8</v>
      </c>
    </row>
    <row r="58" spans="3:4" x14ac:dyDescent="0.3">
      <c r="C58">
        <v>0.8</v>
      </c>
      <c r="D58">
        <v>0.8</v>
      </c>
    </row>
    <row r="59" spans="3:4" x14ac:dyDescent="0.3">
      <c r="C59">
        <v>0.8</v>
      </c>
      <c r="D59">
        <v>0.8</v>
      </c>
    </row>
    <row r="60" spans="3:4" x14ac:dyDescent="0.3">
      <c r="C60">
        <v>0.8</v>
      </c>
      <c r="D60">
        <v>0.8</v>
      </c>
    </row>
    <row r="61" spans="3:4" x14ac:dyDescent="0.3">
      <c r="C61">
        <v>0.8</v>
      </c>
      <c r="D61">
        <v>0.8</v>
      </c>
    </row>
    <row r="62" spans="3:4" x14ac:dyDescent="0.3">
      <c r="C62">
        <v>0.8</v>
      </c>
      <c r="D62">
        <v>0.8</v>
      </c>
    </row>
    <row r="63" spans="3:4" x14ac:dyDescent="0.3">
      <c r="C63">
        <v>0.8</v>
      </c>
      <c r="D63">
        <v>0.8</v>
      </c>
    </row>
    <row r="64" spans="3:4" x14ac:dyDescent="0.3">
      <c r="C64">
        <v>0.8</v>
      </c>
      <c r="D64">
        <v>0.8</v>
      </c>
    </row>
    <row r="65" spans="3:4" x14ac:dyDescent="0.3">
      <c r="C65">
        <v>0.9</v>
      </c>
      <c r="D65">
        <v>0.9</v>
      </c>
    </row>
    <row r="66" spans="3:4" x14ac:dyDescent="0.3">
      <c r="C66">
        <v>0.9</v>
      </c>
      <c r="D66">
        <v>0.9</v>
      </c>
    </row>
    <row r="67" spans="3:4" x14ac:dyDescent="0.3">
      <c r="C67">
        <v>0.9</v>
      </c>
      <c r="D67">
        <v>0.9</v>
      </c>
    </row>
    <row r="68" spans="3:4" x14ac:dyDescent="0.3">
      <c r="C68">
        <v>0.9</v>
      </c>
      <c r="D68">
        <v>0.9</v>
      </c>
    </row>
    <row r="69" spans="3:4" x14ac:dyDescent="0.3">
      <c r="C69">
        <v>0.9</v>
      </c>
      <c r="D69">
        <v>0.9</v>
      </c>
    </row>
    <row r="70" spans="3:4" x14ac:dyDescent="0.3">
      <c r="C70">
        <v>0.9</v>
      </c>
      <c r="D70">
        <v>0.9</v>
      </c>
    </row>
    <row r="71" spans="3:4" x14ac:dyDescent="0.3">
      <c r="C71">
        <v>0.9</v>
      </c>
      <c r="D71">
        <v>0.9</v>
      </c>
    </row>
    <row r="72" spans="3:4" x14ac:dyDescent="0.3">
      <c r="C72">
        <v>0.9</v>
      </c>
      <c r="D72">
        <v>0.9</v>
      </c>
    </row>
    <row r="73" spans="3:4" x14ac:dyDescent="0.3">
      <c r="C73">
        <v>0.9</v>
      </c>
      <c r="D73">
        <v>0.9</v>
      </c>
    </row>
    <row r="74" spans="3:4" x14ac:dyDescent="0.3">
      <c r="C74">
        <v>0.9</v>
      </c>
      <c r="D74">
        <v>0.9</v>
      </c>
    </row>
    <row r="75" spans="3:4" x14ac:dyDescent="0.3">
      <c r="C75">
        <v>0.9</v>
      </c>
      <c r="D75">
        <v>0.9</v>
      </c>
    </row>
    <row r="76" spans="3:4" x14ac:dyDescent="0.3">
      <c r="C76">
        <v>1</v>
      </c>
      <c r="D76">
        <v>1</v>
      </c>
    </row>
    <row r="77" spans="3:4" x14ac:dyDescent="0.3">
      <c r="C77">
        <v>1</v>
      </c>
      <c r="D77">
        <v>1</v>
      </c>
    </row>
    <row r="78" spans="3:4" x14ac:dyDescent="0.3">
      <c r="C78">
        <v>1</v>
      </c>
      <c r="D78">
        <v>1</v>
      </c>
    </row>
    <row r="79" spans="3:4" x14ac:dyDescent="0.3">
      <c r="C79">
        <v>1</v>
      </c>
      <c r="D79">
        <v>1</v>
      </c>
    </row>
    <row r="80" spans="3:4" x14ac:dyDescent="0.3">
      <c r="C80">
        <v>1</v>
      </c>
      <c r="D80">
        <v>1</v>
      </c>
    </row>
    <row r="81" spans="3:4" x14ac:dyDescent="0.3">
      <c r="C81">
        <v>1.1000000000000001</v>
      </c>
      <c r="D81">
        <v>1.1000000000000001</v>
      </c>
    </row>
    <row r="82" spans="3:4" x14ac:dyDescent="0.3">
      <c r="C82">
        <v>1.1000000000000001</v>
      </c>
      <c r="D82">
        <v>1.1000000000000001</v>
      </c>
    </row>
    <row r="83" spans="3:4" x14ac:dyDescent="0.3">
      <c r="C83">
        <v>1.1000000000000001</v>
      </c>
      <c r="D83">
        <v>1.1000000000000001</v>
      </c>
    </row>
    <row r="84" spans="3:4" x14ac:dyDescent="0.3">
      <c r="C84">
        <v>1.1000000000000001</v>
      </c>
      <c r="D84">
        <v>1.1000000000000001</v>
      </c>
    </row>
    <row r="85" spans="3:4" x14ac:dyDescent="0.3">
      <c r="C85">
        <v>1.1000000000000001</v>
      </c>
      <c r="D85">
        <v>1.1000000000000001</v>
      </c>
    </row>
    <row r="86" spans="3:4" x14ac:dyDescent="0.3">
      <c r="C86">
        <v>1.1000000000000001</v>
      </c>
      <c r="D86">
        <v>1.1000000000000001</v>
      </c>
    </row>
    <row r="87" spans="3:4" x14ac:dyDescent="0.3">
      <c r="C87">
        <v>1.1000000000000001</v>
      </c>
      <c r="D87">
        <v>1.1000000000000001</v>
      </c>
    </row>
    <row r="88" spans="3:4" x14ac:dyDescent="0.3">
      <c r="C88">
        <v>1.1000000000000001</v>
      </c>
      <c r="D88">
        <v>1.1000000000000001</v>
      </c>
    </row>
    <row r="89" spans="3:4" x14ac:dyDescent="0.3">
      <c r="C89">
        <v>1.1000000000000001</v>
      </c>
      <c r="D89">
        <v>1.1000000000000001</v>
      </c>
    </row>
    <row r="90" spans="3:4" x14ac:dyDescent="0.3">
      <c r="C90">
        <v>1.1000000000000001</v>
      </c>
      <c r="D90">
        <v>1.1000000000000001</v>
      </c>
    </row>
    <row r="91" spans="3:4" x14ac:dyDescent="0.3">
      <c r="C91">
        <v>1.1000000000000001</v>
      </c>
      <c r="D91">
        <v>1.1000000000000001</v>
      </c>
    </row>
    <row r="92" spans="3:4" x14ac:dyDescent="0.3">
      <c r="C92">
        <v>1.1000000000000001</v>
      </c>
      <c r="D92">
        <v>1.1000000000000001</v>
      </c>
    </row>
    <row r="93" spans="3:4" x14ac:dyDescent="0.3">
      <c r="C93">
        <v>1.2</v>
      </c>
      <c r="D93">
        <v>1.2</v>
      </c>
    </row>
    <row r="94" spans="3:4" x14ac:dyDescent="0.3">
      <c r="C94">
        <v>1.2</v>
      </c>
      <c r="D94">
        <v>1.2</v>
      </c>
    </row>
    <row r="95" spans="3:4" x14ac:dyDescent="0.3">
      <c r="C95">
        <v>1.2</v>
      </c>
      <c r="D95">
        <v>1.2</v>
      </c>
    </row>
    <row r="96" spans="3:4" x14ac:dyDescent="0.3">
      <c r="C96">
        <v>1.2</v>
      </c>
      <c r="D96">
        <v>1.2</v>
      </c>
    </row>
    <row r="97" spans="3:4" x14ac:dyDescent="0.3">
      <c r="C97">
        <v>1.2</v>
      </c>
      <c r="D97">
        <v>1.2</v>
      </c>
    </row>
    <row r="98" spans="3:4" x14ac:dyDescent="0.3">
      <c r="C98">
        <v>1.2</v>
      </c>
      <c r="D98">
        <v>1.2</v>
      </c>
    </row>
    <row r="99" spans="3:4" x14ac:dyDescent="0.3">
      <c r="C99">
        <v>1.2</v>
      </c>
      <c r="D99">
        <v>1.2</v>
      </c>
    </row>
    <row r="100" spans="3:4" x14ac:dyDescent="0.3">
      <c r="C100">
        <v>1.2</v>
      </c>
      <c r="D100">
        <v>1.2</v>
      </c>
    </row>
    <row r="101" spans="3:4" x14ac:dyDescent="0.3">
      <c r="C101">
        <v>1.3</v>
      </c>
      <c r="D101">
        <v>1.3</v>
      </c>
    </row>
    <row r="102" spans="3:4" x14ac:dyDescent="0.3">
      <c r="C102">
        <v>1.3</v>
      </c>
      <c r="D102">
        <v>1.3</v>
      </c>
    </row>
    <row r="103" spans="3:4" x14ac:dyDescent="0.3">
      <c r="C103">
        <v>1.3</v>
      </c>
      <c r="D103">
        <v>1.3</v>
      </c>
    </row>
    <row r="104" spans="3:4" x14ac:dyDescent="0.3">
      <c r="C104">
        <v>1.3</v>
      </c>
      <c r="D104">
        <v>1.3</v>
      </c>
    </row>
    <row r="105" spans="3:4" x14ac:dyDescent="0.3">
      <c r="C105">
        <v>1.3</v>
      </c>
      <c r="D105">
        <v>1.3</v>
      </c>
    </row>
    <row r="106" spans="3:4" x14ac:dyDescent="0.3">
      <c r="C106">
        <v>1.3</v>
      </c>
      <c r="D106">
        <v>1.3</v>
      </c>
    </row>
    <row r="107" spans="3:4" x14ac:dyDescent="0.3">
      <c r="C107">
        <v>1.3</v>
      </c>
      <c r="D107">
        <v>1.3</v>
      </c>
    </row>
    <row r="108" spans="3:4" x14ac:dyDescent="0.3">
      <c r="C108">
        <v>1.3</v>
      </c>
      <c r="D108">
        <v>1.3</v>
      </c>
    </row>
    <row r="109" spans="3:4" x14ac:dyDescent="0.3">
      <c r="C109">
        <v>1.3</v>
      </c>
      <c r="D109">
        <v>1.3</v>
      </c>
    </row>
    <row r="110" spans="3:4" x14ac:dyDescent="0.3">
      <c r="C110">
        <v>1.3</v>
      </c>
      <c r="D110">
        <v>1.3</v>
      </c>
    </row>
    <row r="111" spans="3:4" x14ac:dyDescent="0.3">
      <c r="C111">
        <v>1.4</v>
      </c>
      <c r="D111">
        <v>1.4</v>
      </c>
    </row>
    <row r="112" spans="3:4" x14ac:dyDescent="0.3">
      <c r="C112">
        <v>1.4</v>
      </c>
      <c r="D112">
        <v>1.4</v>
      </c>
    </row>
    <row r="113" spans="3:4" x14ac:dyDescent="0.3">
      <c r="C113">
        <v>1.4</v>
      </c>
      <c r="D113">
        <v>1.4</v>
      </c>
    </row>
    <row r="114" spans="3:4" x14ac:dyDescent="0.3">
      <c r="C114">
        <v>1.4</v>
      </c>
      <c r="D114">
        <v>1.4</v>
      </c>
    </row>
    <row r="115" spans="3:4" x14ac:dyDescent="0.3">
      <c r="C115">
        <v>1.4</v>
      </c>
      <c r="D115">
        <v>1.4</v>
      </c>
    </row>
    <row r="116" spans="3:4" x14ac:dyDescent="0.3">
      <c r="C116">
        <v>1.5</v>
      </c>
      <c r="D116">
        <v>1.5</v>
      </c>
    </row>
    <row r="117" spans="3:4" x14ac:dyDescent="0.3">
      <c r="C117">
        <v>1.6</v>
      </c>
      <c r="D117">
        <v>1.6</v>
      </c>
    </row>
    <row r="118" spans="3:4" x14ac:dyDescent="0.3">
      <c r="C118">
        <v>1.6</v>
      </c>
      <c r="D118">
        <v>1.6</v>
      </c>
    </row>
    <row r="119" spans="3:4" x14ac:dyDescent="0.3">
      <c r="C119">
        <v>1.8</v>
      </c>
      <c r="D119">
        <v>1.8</v>
      </c>
    </row>
    <row r="120" spans="3:4" x14ac:dyDescent="0.3">
      <c r="C120">
        <v>1.8</v>
      </c>
      <c r="D120">
        <v>1.8</v>
      </c>
    </row>
    <row r="121" spans="3:4" x14ac:dyDescent="0.3">
      <c r="C121">
        <v>1.8</v>
      </c>
      <c r="D121">
        <v>1.8</v>
      </c>
    </row>
    <row r="122" spans="3:4" x14ac:dyDescent="0.3">
      <c r="C122">
        <v>1.8</v>
      </c>
      <c r="D122">
        <v>1.8</v>
      </c>
    </row>
    <row r="123" spans="3:4" x14ac:dyDescent="0.3">
      <c r="C123">
        <v>1.8</v>
      </c>
      <c r="D123">
        <v>1.8</v>
      </c>
    </row>
    <row r="124" spans="3:4" x14ac:dyDescent="0.3">
      <c r="C124">
        <v>1.9</v>
      </c>
      <c r="D124">
        <v>1.9</v>
      </c>
    </row>
    <row r="125" spans="3:4" x14ac:dyDescent="0.3">
      <c r="C125">
        <v>1.9</v>
      </c>
      <c r="D125">
        <v>1.9</v>
      </c>
    </row>
    <row r="126" spans="3:4" x14ac:dyDescent="0.3">
      <c r="C126">
        <v>1.9</v>
      </c>
      <c r="D126">
        <v>1.9</v>
      </c>
    </row>
    <row r="127" spans="3:4" x14ac:dyDescent="0.3">
      <c r="C127">
        <v>2</v>
      </c>
      <c r="D127">
        <v>2</v>
      </c>
    </row>
    <row r="128" spans="3:4" x14ac:dyDescent="0.3">
      <c r="C128">
        <v>2</v>
      </c>
      <c r="D128">
        <v>2</v>
      </c>
    </row>
    <row r="129" spans="3:4" x14ac:dyDescent="0.3">
      <c r="C129">
        <v>2</v>
      </c>
      <c r="D129">
        <v>2</v>
      </c>
    </row>
    <row r="130" spans="3:4" x14ac:dyDescent="0.3">
      <c r="C130">
        <v>2</v>
      </c>
      <c r="D130">
        <v>2</v>
      </c>
    </row>
    <row r="131" spans="3:4" x14ac:dyDescent="0.3">
      <c r="C131">
        <v>2.1</v>
      </c>
      <c r="D131">
        <v>2.1</v>
      </c>
    </row>
    <row r="132" spans="3:4" x14ac:dyDescent="0.3">
      <c r="C132">
        <v>2.1</v>
      </c>
      <c r="D132">
        <v>2.1</v>
      </c>
    </row>
    <row r="133" spans="3:4" x14ac:dyDescent="0.3">
      <c r="C133">
        <v>2.1</v>
      </c>
      <c r="D133">
        <v>2.1</v>
      </c>
    </row>
    <row r="134" spans="3:4" x14ac:dyDescent="0.3">
      <c r="C134">
        <v>2.1</v>
      </c>
      <c r="D134">
        <v>2.1</v>
      </c>
    </row>
    <row r="135" spans="3:4" x14ac:dyDescent="0.3">
      <c r="C135">
        <v>2.1</v>
      </c>
      <c r="D135">
        <v>2.1</v>
      </c>
    </row>
    <row r="136" spans="3:4" x14ac:dyDescent="0.3">
      <c r="C136">
        <v>2.2999999999999998</v>
      </c>
      <c r="D136">
        <v>2.2999999999999998</v>
      </c>
    </row>
    <row r="137" spans="3:4" x14ac:dyDescent="0.3">
      <c r="C137">
        <v>2.2999999999999998</v>
      </c>
      <c r="D137">
        <v>2.2999999999999998</v>
      </c>
    </row>
    <row r="138" spans="3:4" x14ac:dyDescent="0.3">
      <c r="C138">
        <v>2.2999999999999998</v>
      </c>
      <c r="D138">
        <v>2.2999999999999998</v>
      </c>
    </row>
    <row r="139" spans="3:4" x14ac:dyDescent="0.3">
      <c r="C139">
        <v>2.2999999999999998</v>
      </c>
      <c r="D139">
        <v>2.2999999999999998</v>
      </c>
    </row>
    <row r="140" spans="3:4" x14ac:dyDescent="0.3">
      <c r="C140">
        <v>2.4</v>
      </c>
      <c r="D140">
        <v>2.4</v>
      </c>
    </row>
    <row r="141" spans="3:4" x14ac:dyDescent="0.3">
      <c r="C141">
        <v>2.5</v>
      </c>
      <c r="D141">
        <v>2.5</v>
      </c>
    </row>
    <row r="142" spans="3:4" x14ac:dyDescent="0.3">
      <c r="C142">
        <v>2.5</v>
      </c>
      <c r="D142">
        <v>2.5</v>
      </c>
    </row>
    <row r="143" spans="3:4" x14ac:dyDescent="0.3">
      <c r="C143">
        <v>2.6</v>
      </c>
      <c r="D143">
        <v>2.6</v>
      </c>
    </row>
    <row r="144" spans="3:4" x14ac:dyDescent="0.3">
      <c r="C144">
        <v>2.7</v>
      </c>
      <c r="D144">
        <v>2.7</v>
      </c>
    </row>
    <row r="145" spans="3:4" x14ac:dyDescent="0.3">
      <c r="C145">
        <v>2.8</v>
      </c>
      <c r="D145">
        <v>2.8</v>
      </c>
    </row>
    <row r="146" spans="3:4" x14ac:dyDescent="0.3">
      <c r="C146">
        <v>2.9</v>
      </c>
      <c r="D146">
        <v>2.9</v>
      </c>
    </row>
    <row r="147" spans="3:4" x14ac:dyDescent="0.3">
      <c r="C147">
        <v>3</v>
      </c>
      <c r="D147">
        <v>3</v>
      </c>
    </row>
    <row r="148" spans="3:4" x14ac:dyDescent="0.3">
      <c r="C148">
        <v>3</v>
      </c>
      <c r="D148">
        <v>3</v>
      </c>
    </row>
    <row r="149" spans="3:4" x14ac:dyDescent="0.3">
      <c r="C149">
        <v>3</v>
      </c>
      <c r="D149">
        <v>3</v>
      </c>
    </row>
    <row r="150" spans="3:4" x14ac:dyDescent="0.3">
      <c r="C150">
        <v>3.2</v>
      </c>
      <c r="D150">
        <v>3.2</v>
      </c>
    </row>
    <row r="151" spans="3:4" x14ac:dyDescent="0.3">
      <c r="C151">
        <v>3.2</v>
      </c>
      <c r="D151">
        <v>3.2</v>
      </c>
    </row>
    <row r="152" spans="3:4" x14ac:dyDescent="0.3">
      <c r="C152">
        <v>3.2</v>
      </c>
      <c r="D152">
        <v>3.2</v>
      </c>
    </row>
    <row r="153" spans="3:4" x14ac:dyDescent="0.3">
      <c r="C153">
        <v>3.2</v>
      </c>
      <c r="D153">
        <v>3.2</v>
      </c>
    </row>
    <row r="154" spans="3:4" x14ac:dyDescent="0.3">
      <c r="C154">
        <v>3.2</v>
      </c>
      <c r="D154">
        <v>3.2</v>
      </c>
    </row>
    <row r="155" spans="3:4" x14ac:dyDescent="0.3">
      <c r="C155">
        <v>3.3</v>
      </c>
      <c r="D155">
        <v>3.3</v>
      </c>
    </row>
    <row r="156" spans="3:4" x14ac:dyDescent="0.3">
      <c r="C156">
        <v>3.3</v>
      </c>
      <c r="D156">
        <v>3.3</v>
      </c>
    </row>
    <row r="157" spans="3:4" x14ac:dyDescent="0.3">
      <c r="C157">
        <v>3.4</v>
      </c>
      <c r="D157">
        <v>3.4</v>
      </c>
    </row>
    <row r="158" spans="3:4" x14ac:dyDescent="0.3">
      <c r="C158">
        <v>3.4</v>
      </c>
      <c r="D158">
        <v>3.4</v>
      </c>
    </row>
    <row r="159" spans="3:4" x14ac:dyDescent="0.3">
      <c r="C159">
        <v>3.4</v>
      </c>
      <c r="D159">
        <v>3.4</v>
      </c>
    </row>
    <row r="160" spans="3:4" x14ac:dyDescent="0.3">
      <c r="C160">
        <v>3.5</v>
      </c>
      <c r="D160">
        <v>3.5</v>
      </c>
    </row>
    <row r="161" spans="3:4" x14ac:dyDescent="0.3">
      <c r="C161">
        <v>3.5</v>
      </c>
      <c r="D161">
        <v>3.5</v>
      </c>
    </row>
    <row r="162" spans="3:4" x14ac:dyDescent="0.3">
      <c r="C162">
        <v>3.6</v>
      </c>
      <c r="D162">
        <v>3.6</v>
      </c>
    </row>
    <row r="163" spans="3:4" x14ac:dyDescent="0.3">
      <c r="C163">
        <v>3.6</v>
      </c>
      <c r="D163">
        <v>3.6</v>
      </c>
    </row>
    <row r="164" spans="3:4" x14ac:dyDescent="0.3">
      <c r="C164">
        <v>3.8</v>
      </c>
      <c r="D164">
        <v>3.8</v>
      </c>
    </row>
    <row r="165" spans="3:4" x14ac:dyDescent="0.3">
      <c r="C165">
        <v>3.9</v>
      </c>
      <c r="D165">
        <v>3.9</v>
      </c>
    </row>
    <row r="166" spans="3:4" x14ac:dyDescent="0.3">
      <c r="C166">
        <v>4</v>
      </c>
      <c r="D166">
        <v>4</v>
      </c>
    </row>
    <row r="167" spans="3:4" x14ac:dyDescent="0.3">
      <c r="C167">
        <v>4.5</v>
      </c>
      <c r="D167">
        <v>4.5</v>
      </c>
    </row>
    <row r="168" spans="3:4" x14ac:dyDescent="0.3">
      <c r="C168">
        <v>4.5</v>
      </c>
      <c r="D168">
        <v>4.5</v>
      </c>
    </row>
    <row r="169" spans="3:4" x14ac:dyDescent="0.3">
      <c r="C169">
        <v>4.7</v>
      </c>
      <c r="D169">
        <v>4.7</v>
      </c>
    </row>
    <row r="170" spans="3:4" x14ac:dyDescent="0.3">
      <c r="C170">
        <v>4.7</v>
      </c>
      <c r="D170">
        <v>4.7</v>
      </c>
    </row>
    <row r="171" spans="3:4" x14ac:dyDescent="0.3">
      <c r="C171">
        <v>5</v>
      </c>
      <c r="D171">
        <v>5</v>
      </c>
    </row>
    <row r="172" spans="3:4" x14ac:dyDescent="0.3">
      <c r="C172">
        <v>5</v>
      </c>
      <c r="D172">
        <v>5</v>
      </c>
    </row>
    <row r="173" spans="3:4" x14ac:dyDescent="0.3">
      <c r="C173">
        <v>5.0999999999999996</v>
      </c>
      <c r="D173">
        <v>5.0999999999999996</v>
      </c>
    </row>
    <row r="174" spans="3:4" x14ac:dyDescent="0.3">
      <c r="C174">
        <v>5.0999999999999996</v>
      </c>
      <c r="D174">
        <v>5.0999999999999996</v>
      </c>
    </row>
    <row r="175" spans="3:4" x14ac:dyDescent="0.3">
      <c r="C175">
        <v>5.2</v>
      </c>
      <c r="D175">
        <v>5.2</v>
      </c>
    </row>
    <row r="176" spans="3:4" x14ac:dyDescent="0.3">
      <c r="C176">
        <v>5.5</v>
      </c>
      <c r="D176">
        <v>5.5</v>
      </c>
    </row>
    <row r="177" spans="3:4" x14ac:dyDescent="0.3">
      <c r="C177">
        <v>5.7</v>
      </c>
      <c r="D177">
        <v>5.7</v>
      </c>
    </row>
    <row r="178" spans="3:4" x14ac:dyDescent="0.3">
      <c r="C178">
        <v>5.7</v>
      </c>
      <c r="D178">
        <v>5.7</v>
      </c>
    </row>
    <row r="179" spans="3:4" x14ac:dyDescent="0.3">
      <c r="C179">
        <v>5.9</v>
      </c>
      <c r="D179">
        <v>5.9</v>
      </c>
    </row>
    <row r="180" spans="3:4" x14ac:dyDescent="0.3">
      <c r="C180">
        <v>6</v>
      </c>
      <c r="D180">
        <v>6</v>
      </c>
    </row>
    <row r="181" spans="3:4" x14ac:dyDescent="0.3">
      <c r="C181">
        <v>6.3</v>
      </c>
      <c r="D181">
        <v>6.3</v>
      </c>
    </row>
    <row r="182" spans="3:4" x14ac:dyDescent="0.3">
      <c r="C182">
        <v>6.5</v>
      </c>
      <c r="D182">
        <v>6.5</v>
      </c>
    </row>
    <row r="183" spans="3:4" x14ac:dyDescent="0.3">
      <c r="C183">
        <v>6.6</v>
      </c>
      <c r="D183">
        <v>6.6</v>
      </c>
    </row>
    <row r="184" spans="3:4" x14ac:dyDescent="0.3">
      <c r="C184">
        <v>6.7</v>
      </c>
      <c r="D184">
        <v>6.7</v>
      </c>
    </row>
    <row r="185" spans="3:4" x14ac:dyDescent="0.3">
      <c r="C185">
        <v>6.8</v>
      </c>
      <c r="D185">
        <v>6.8</v>
      </c>
    </row>
    <row r="186" spans="3:4" x14ac:dyDescent="0.3">
      <c r="C186">
        <v>7.1</v>
      </c>
      <c r="D186">
        <v>7.1</v>
      </c>
    </row>
    <row r="187" spans="3:4" x14ac:dyDescent="0.3">
      <c r="C187">
        <v>7.2</v>
      </c>
      <c r="D187">
        <v>7.2</v>
      </c>
    </row>
    <row r="188" spans="3:4" x14ac:dyDescent="0.3">
      <c r="C188">
        <v>7.2</v>
      </c>
      <c r="D188">
        <v>7.2</v>
      </c>
    </row>
    <row r="189" spans="3:4" x14ac:dyDescent="0.3">
      <c r="C189">
        <v>7.3</v>
      </c>
      <c r="D189">
        <v>7.3</v>
      </c>
    </row>
    <row r="190" spans="3:4" x14ac:dyDescent="0.3">
      <c r="C190">
        <v>8.4</v>
      </c>
      <c r="D190">
        <v>8.4</v>
      </c>
    </row>
    <row r="191" spans="3:4" x14ac:dyDescent="0.3">
      <c r="C191">
        <v>8.5</v>
      </c>
      <c r="D191">
        <v>8.5</v>
      </c>
    </row>
    <row r="192" spans="3:4" x14ac:dyDescent="0.3">
      <c r="C192">
        <v>11</v>
      </c>
      <c r="D192">
        <v>11</v>
      </c>
    </row>
    <row r="193" spans="3:4" x14ac:dyDescent="0.3">
      <c r="C193">
        <v>11.4</v>
      </c>
      <c r="D193">
        <v>11.4</v>
      </c>
    </row>
    <row r="194" spans="3:4" x14ac:dyDescent="0.3">
      <c r="C194">
        <v>11.4</v>
      </c>
      <c r="D194">
        <v>11.4</v>
      </c>
    </row>
    <row r="195" spans="3:4" x14ac:dyDescent="0.3">
      <c r="C195">
        <v>12.2</v>
      </c>
      <c r="D195">
        <v>12.2</v>
      </c>
    </row>
    <row r="196" spans="3:4" x14ac:dyDescent="0.3">
      <c r="C196">
        <v>12.6</v>
      </c>
      <c r="D196">
        <v>12.6</v>
      </c>
    </row>
    <row r="197" spans="3:4" x14ac:dyDescent="0.3">
      <c r="C197">
        <v>14</v>
      </c>
      <c r="D197">
        <v>14</v>
      </c>
    </row>
    <row r="198" spans="3:4" x14ac:dyDescent="0.3">
      <c r="C198">
        <v>14.1</v>
      </c>
      <c r="D198">
        <v>14.1</v>
      </c>
    </row>
    <row r="199" spans="3:4" x14ac:dyDescent="0.3">
      <c r="C199">
        <v>14.4</v>
      </c>
      <c r="D199">
        <v>14.4</v>
      </c>
    </row>
    <row r="200" spans="3:4" x14ac:dyDescent="0.3">
      <c r="C200">
        <v>14.5</v>
      </c>
      <c r="D200">
        <v>14.5</v>
      </c>
    </row>
    <row r="201" spans="3:4" x14ac:dyDescent="0.3">
      <c r="C201">
        <v>16.2</v>
      </c>
      <c r="D201">
        <v>16.2</v>
      </c>
    </row>
    <row r="202" spans="3:4" x14ac:dyDescent="0.3">
      <c r="C202">
        <v>17.100000000000001</v>
      </c>
      <c r="D202">
        <v>17.100000000000001</v>
      </c>
    </row>
    <row r="203" spans="3:4" x14ac:dyDescent="0.3">
      <c r="C203">
        <v>17.2</v>
      </c>
      <c r="D203">
        <v>17.2</v>
      </c>
    </row>
    <row r="204" spans="3:4" x14ac:dyDescent="0.3">
      <c r="C204">
        <v>17.399999999999999</v>
      </c>
      <c r="D204">
        <v>17.399999999999999</v>
      </c>
    </row>
    <row r="205" spans="3:4" x14ac:dyDescent="0.3">
      <c r="C205">
        <v>17.399999999999999</v>
      </c>
      <c r="D205">
        <v>17.399999999999999</v>
      </c>
    </row>
    <row r="206" spans="3:4" x14ac:dyDescent="0.3">
      <c r="C206">
        <v>17.399999999999999</v>
      </c>
      <c r="D206">
        <v>17.399999999999999</v>
      </c>
    </row>
    <row r="207" spans="3:4" x14ac:dyDescent="0.3">
      <c r="C207" s="19">
        <v>20</v>
      </c>
      <c r="D207" s="21">
        <v>17.399999999999999</v>
      </c>
    </row>
    <row r="208" spans="3:4" x14ac:dyDescent="0.3">
      <c r="C208" s="19">
        <v>21.6</v>
      </c>
      <c r="D208" s="21">
        <v>17.399999999999999</v>
      </c>
    </row>
    <row r="209" spans="2:4" x14ac:dyDescent="0.3">
      <c r="C209" s="19">
        <v>22.5</v>
      </c>
      <c r="D209" s="21">
        <v>17.399999999999999</v>
      </c>
    </row>
    <row r="210" spans="2:4" x14ac:dyDescent="0.3">
      <c r="C210" s="19">
        <v>25.5</v>
      </c>
      <c r="D210" s="21">
        <v>17.399999999999999</v>
      </c>
    </row>
    <row r="211" spans="2:4" x14ac:dyDescent="0.3">
      <c r="C211" s="19">
        <v>28</v>
      </c>
      <c r="D211" s="21">
        <v>17.399999999999999</v>
      </c>
    </row>
    <row r="214" spans="2:4" x14ac:dyDescent="0.3">
      <c r="B214" t="s">
        <v>47</v>
      </c>
      <c r="C214" s="3">
        <f>AVERAGE(C$3:C$211)</f>
        <v>3.4272727272727272</v>
      </c>
      <c r="D214" s="3">
        <f>AVERAGE(D$3:D$211)</f>
        <v>3.280861244019138</v>
      </c>
    </row>
    <row r="216" spans="2:4" ht="15.6" x14ac:dyDescent="0.3">
      <c r="B216" t="s">
        <v>48</v>
      </c>
      <c r="C216" s="4">
        <f>STDEV(C$3:C$211)</f>
        <v>4.9141742329315505</v>
      </c>
      <c r="D216" s="4">
        <f>STDEV(D$3:D$211)</f>
        <v>4.3495266348190551</v>
      </c>
    </row>
    <row r="219" spans="2:4" x14ac:dyDescent="0.3">
      <c r="B219" t="s">
        <v>49</v>
      </c>
      <c r="C219">
        <f>MIN(C$3:C$211)</f>
        <v>0.3</v>
      </c>
      <c r="D219">
        <f>MIN(D$3:D$211)</f>
        <v>0.3</v>
      </c>
    </row>
    <row r="221" spans="2:4" x14ac:dyDescent="0.3">
      <c r="B221" t="s">
        <v>50</v>
      </c>
      <c r="C221" s="3">
        <f>QUARTILE(C$3:C$211,1)</f>
        <v>0.8</v>
      </c>
      <c r="D221" s="3">
        <f>QUARTILE(D$3:D$211,1)</f>
        <v>0.8</v>
      </c>
    </row>
    <row r="223" spans="2:4" x14ac:dyDescent="0.3">
      <c r="B223" t="s">
        <v>51</v>
      </c>
      <c r="C223" s="3">
        <f>MEDIAN(C$3:C$211)</f>
        <v>1.3</v>
      </c>
      <c r="D223" s="3">
        <f>MEDIAN(D$3:D$211)</f>
        <v>1.3</v>
      </c>
    </row>
    <row r="225" spans="2:4" x14ac:dyDescent="0.3">
      <c r="B225" t="s">
        <v>52</v>
      </c>
      <c r="C225">
        <f>QUARTILE(C$3:C$211,3)</f>
        <v>3.4</v>
      </c>
      <c r="D225">
        <f>QUARTILE(D$3:D$211,3)</f>
        <v>3.4</v>
      </c>
    </row>
    <row r="227" spans="2:4" x14ac:dyDescent="0.3">
      <c r="B227" t="s">
        <v>53</v>
      </c>
      <c r="C227">
        <f>MAX(C$3:C$211)</f>
        <v>28</v>
      </c>
      <c r="D227">
        <f>MAX(D$3:D$211)</f>
        <v>17.399999999999999</v>
      </c>
    </row>
    <row r="229" spans="2:4" x14ac:dyDescent="0.3">
      <c r="B229" t="s">
        <v>54</v>
      </c>
      <c r="C229">
        <f>C227-C219</f>
        <v>27.7</v>
      </c>
      <c r="D229">
        <f>D227-D219</f>
        <v>17.099999999999998</v>
      </c>
    </row>
    <row r="231" spans="2:4" x14ac:dyDescent="0.3">
      <c r="B231" t="s">
        <v>55</v>
      </c>
      <c r="C231">
        <f>C221-C225</f>
        <v>-2.5999999999999996</v>
      </c>
      <c r="D231">
        <f>D221-D225</f>
        <v>-2.5999999999999996</v>
      </c>
    </row>
    <row r="233" spans="2:4" x14ac:dyDescent="0.3">
      <c r="B233" t="s">
        <v>56</v>
      </c>
      <c r="C233">
        <f>MODE(C$3:C$211)</f>
        <v>0.6</v>
      </c>
      <c r="D233">
        <f>MODE(D$3:D$211)</f>
        <v>0.6</v>
      </c>
    </row>
  </sheetData>
  <sortState xmlns:xlrd2="http://schemas.microsoft.com/office/spreadsheetml/2017/richdata2" ref="D3:D211">
    <sortCondition ref="D3:D211"/>
  </sortState>
  <phoneticPr fontId="21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2CD86-2F1E-4263-B01A-99AED0BB23BC}">
  <dimension ref="A1:I232"/>
  <sheetViews>
    <sheetView tabSelected="1" workbookViewId="0">
      <selection activeCell="M14" sqref="M14"/>
    </sheetView>
  </sheetViews>
  <sheetFormatPr defaultRowHeight="14.4" x14ac:dyDescent="0.3"/>
  <cols>
    <col min="2" max="2" width="11.33203125" customWidth="1"/>
    <col min="4" max="4" width="19" customWidth="1"/>
    <col min="7" max="7" width="17.44140625" customWidth="1"/>
    <col min="8" max="8" width="17.88671875" customWidth="1"/>
    <col min="9" max="9" width="17.44140625" customWidth="1"/>
  </cols>
  <sheetData>
    <row r="1" spans="2:9" x14ac:dyDescent="0.3">
      <c r="B1">
        <v>11</v>
      </c>
      <c r="D1">
        <v>11</v>
      </c>
    </row>
    <row r="2" spans="2:9" ht="15.6" x14ac:dyDescent="0.3">
      <c r="B2" t="s">
        <v>10</v>
      </c>
      <c r="D2" t="s">
        <v>126</v>
      </c>
      <c r="G2" s="11" t="s">
        <v>58</v>
      </c>
      <c r="H2" s="11" t="s">
        <v>115</v>
      </c>
      <c r="I2" s="11"/>
    </row>
    <row r="3" spans="2:9" ht="16.2" customHeight="1" x14ac:dyDescent="0.3">
      <c r="B3">
        <v>120</v>
      </c>
      <c r="D3">
        <v>120</v>
      </c>
      <c r="G3" s="11" t="s">
        <v>116</v>
      </c>
      <c r="H3" s="11">
        <v>25</v>
      </c>
      <c r="I3" s="12" t="s">
        <v>171</v>
      </c>
    </row>
    <row r="4" spans="2:9" ht="15.6" x14ac:dyDescent="0.3">
      <c r="B4">
        <v>127</v>
      </c>
      <c r="D4">
        <v>127</v>
      </c>
      <c r="G4" s="11"/>
      <c r="H4" s="11"/>
      <c r="I4" s="13"/>
    </row>
    <row r="5" spans="2:9" ht="15.6" x14ac:dyDescent="0.3">
      <c r="B5">
        <v>132</v>
      </c>
      <c r="D5">
        <v>132</v>
      </c>
      <c r="G5" s="11"/>
      <c r="H5" s="11"/>
      <c r="I5" s="13"/>
    </row>
    <row r="6" spans="2:9" ht="15.6" x14ac:dyDescent="0.3">
      <c r="B6">
        <v>151</v>
      </c>
      <c r="D6">
        <v>151</v>
      </c>
      <c r="G6" s="11"/>
      <c r="H6" s="11"/>
      <c r="I6" s="11"/>
    </row>
    <row r="7" spans="2:9" ht="15.6" x14ac:dyDescent="0.3">
      <c r="B7">
        <v>168</v>
      </c>
      <c r="D7">
        <v>168</v>
      </c>
      <c r="G7" s="11"/>
      <c r="H7" s="11"/>
      <c r="I7" s="11"/>
    </row>
    <row r="8" spans="2:9" ht="15.6" x14ac:dyDescent="0.3">
      <c r="B8">
        <v>172</v>
      </c>
      <c r="D8">
        <v>172</v>
      </c>
      <c r="G8" s="11" t="s">
        <v>117</v>
      </c>
      <c r="H8" s="11"/>
      <c r="I8" s="11"/>
    </row>
    <row r="9" spans="2:9" ht="15.6" x14ac:dyDescent="0.3">
      <c r="B9">
        <v>174</v>
      </c>
      <c r="D9">
        <v>174</v>
      </c>
      <c r="G9" s="11"/>
      <c r="H9" s="11"/>
      <c r="I9" s="11" t="s">
        <v>75</v>
      </c>
    </row>
    <row r="10" spans="2:9" ht="15.6" x14ac:dyDescent="0.3">
      <c r="B10">
        <v>175</v>
      </c>
      <c r="D10">
        <v>175</v>
      </c>
      <c r="G10" s="11" t="s">
        <v>128</v>
      </c>
      <c r="H10" s="11" t="s">
        <v>119</v>
      </c>
      <c r="I10" s="11">
        <f>+COUNT(D3:D5)</f>
        <v>3</v>
      </c>
    </row>
    <row r="11" spans="2:9" ht="15.6" x14ac:dyDescent="0.3">
      <c r="B11">
        <v>176</v>
      </c>
      <c r="D11">
        <v>176</v>
      </c>
      <c r="G11" s="11" t="s">
        <v>172</v>
      </c>
      <c r="H11" s="11" t="s">
        <v>121</v>
      </c>
      <c r="I11" s="11">
        <f>+COUNT(D6:D16)</f>
        <v>11</v>
      </c>
    </row>
    <row r="12" spans="2:9" ht="15.6" x14ac:dyDescent="0.3">
      <c r="B12">
        <v>178</v>
      </c>
      <c r="D12">
        <v>178</v>
      </c>
      <c r="G12" s="11" t="s">
        <v>129</v>
      </c>
      <c r="H12" s="11" t="s">
        <v>130</v>
      </c>
      <c r="I12" s="11">
        <f>+COUNT(D16:D40)</f>
        <v>25</v>
      </c>
    </row>
    <row r="13" spans="2:9" ht="15.6" x14ac:dyDescent="0.3">
      <c r="B13">
        <v>178</v>
      </c>
      <c r="D13">
        <v>178</v>
      </c>
      <c r="G13" s="11" t="s">
        <v>131</v>
      </c>
      <c r="H13" s="11" t="s">
        <v>132</v>
      </c>
      <c r="I13" s="11">
        <f>+COUNT(D41:D92)</f>
        <v>52</v>
      </c>
    </row>
    <row r="14" spans="2:9" ht="15.6" x14ac:dyDescent="0.3">
      <c r="B14">
        <v>187</v>
      </c>
      <c r="D14">
        <v>187</v>
      </c>
      <c r="G14" t="s">
        <v>133</v>
      </c>
      <c r="H14" t="s">
        <v>134</v>
      </c>
      <c r="I14" s="11">
        <f>+COUNT(D93:D136)</f>
        <v>44</v>
      </c>
    </row>
    <row r="15" spans="2:9" ht="15.6" x14ac:dyDescent="0.3">
      <c r="B15">
        <v>188</v>
      </c>
      <c r="D15">
        <v>188</v>
      </c>
      <c r="G15" t="s">
        <v>135</v>
      </c>
      <c r="H15" t="s">
        <v>136</v>
      </c>
      <c r="I15" s="11">
        <f>+COUNT(D136:D211)</f>
        <v>76</v>
      </c>
    </row>
    <row r="16" spans="2:9" x14ac:dyDescent="0.3">
      <c r="B16">
        <v>196</v>
      </c>
      <c r="D16">
        <v>196</v>
      </c>
    </row>
    <row r="17" spans="2:4" x14ac:dyDescent="0.3">
      <c r="B17">
        <v>200</v>
      </c>
      <c r="D17">
        <v>200</v>
      </c>
    </row>
    <row r="18" spans="2:4" x14ac:dyDescent="0.3">
      <c r="B18">
        <v>201</v>
      </c>
      <c r="D18">
        <v>201</v>
      </c>
    </row>
    <row r="19" spans="2:4" x14ac:dyDescent="0.3">
      <c r="B19">
        <v>201</v>
      </c>
      <c r="D19">
        <v>201</v>
      </c>
    </row>
    <row r="20" spans="2:4" x14ac:dyDescent="0.3">
      <c r="B20">
        <v>204</v>
      </c>
      <c r="D20">
        <v>204</v>
      </c>
    </row>
    <row r="21" spans="2:4" x14ac:dyDescent="0.3">
      <c r="B21">
        <v>205</v>
      </c>
      <c r="D21">
        <v>205</v>
      </c>
    </row>
    <row r="22" spans="2:4" x14ac:dyDescent="0.3">
      <c r="B22">
        <v>206</v>
      </c>
      <c r="D22">
        <v>206</v>
      </c>
    </row>
    <row r="23" spans="2:4" x14ac:dyDescent="0.3">
      <c r="B23">
        <v>210</v>
      </c>
      <c r="D23">
        <v>210</v>
      </c>
    </row>
    <row r="24" spans="2:4" x14ac:dyDescent="0.3">
      <c r="B24">
        <v>212</v>
      </c>
      <c r="D24">
        <v>212</v>
      </c>
    </row>
    <row r="25" spans="2:4" x14ac:dyDescent="0.3">
      <c r="B25">
        <v>213</v>
      </c>
      <c r="D25">
        <v>213</v>
      </c>
    </row>
    <row r="26" spans="2:4" x14ac:dyDescent="0.3">
      <c r="B26">
        <v>215</v>
      </c>
      <c r="D26">
        <v>215</v>
      </c>
    </row>
    <row r="27" spans="2:4" x14ac:dyDescent="0.3">
      <c r="B27">
        <v>216</v>
      </c>
      <c r="D27">
        <v>216</v>
      </c>
    </row>
    <row r="28" spans="2:4" x14ac:dyDescent="0.3">
      <c r="B28">
        <v>217</v>
      </c>
      <c r="D28">
        <v>217</v>
      </c>
    </row>
    <row r="29" spans="2:4" x14ac:dyDescent="0.3">
      <c r="B29">
        <v>217</v>
      </c>
      <c r="D29">
        <v>217</v>
      </c>
    </row>
    <row r="30" spans="2:4" x14ac:dyDescent="0.3">
      <c r="B30">
        <v>220</v>
      </c>
      <c r="D30">
        <v>220</v>
      </c>
    </row>
    <row r="31" spans="2:4" x14ac:dyDescent="0.3">
      <c r="B31">
        <v>222</v>
      </c>
      <c r="D31">
        <v>222</v>
      </c>
    </row>
    <row r="32" spans="2:4" x14ac:dyDescent="0.3">
      <c r="B32">
        <v>225</v>
      </c>
      <c r="D32">
        <v>225</v>
      </c>
    </row>
    <row r="33" spans="2:4" x14ac:dyDescent="0.3">
      <c r="B33">
        <v>226</v>
      </c>
      <c r="D33">
        <v>226</v>
      </c>
    </row>
    <row r="34" spans="2:4" x14ac:dyDescent="0.3">
      <c r="B34">
        <v>231</v>
      </c>
      <c r="D34">
        <v>231</v>
      </c>
    </row>
    <row r="35" spans="2:4" x14ac:dyDescent="0.3">
      <c r="B35">
        <v>232</v>
      </c>
      <c r="D35">
        <v>232</v>
      </c>
    </row>
    <row r="36" spans="2:4" x14ac:dyDescent="0.3">
      <c r="B36">
        <v>233</v>
      </c>
      <c r="D36">
        <v>233</v>
      </c>
    </row>
    <row r="37" spans="2:4" x14ac:dyDescent="0.3">
      <c r="B37">
        <v>235</v>
      </c>
      <c r="D37">
        <v>235</v>
      </c>
    </row>
    <row r="38" spans="2:4" x14ac:dyDescent="0.3">
      <c r="B38">
        <v>236</v>
      </c>
      <c r="D38">
        <v>236</v>
      </c>
    </row>
    <row r="39" spans="2:4" x14ac:dyDescent="0.3">
      <c r="B39">
        <v>236</v>
      </c>
      <c r="D39">
        <v>236</v>
      </c>
    </row>
    <row r="40" spans="2:4" x14ac:dyDescent="0.3">
      <c r="B40">
        <v>239</v>
      </c>
      <c r="D40">
        <v>239</v>
      </c>
    </row>
    <row r="41" spans="2:4" x14ac:dyDescent="0.3">
      <c r="B41">
        <v>242</v>
      </c>
      <c r="D41">
        <v>242</v>
      </c>
    </row>
    <row r="42" spans="2:4" x14ac:dyDescent="0.3">
      <c r="B42">
        <v>242</v>
      </c>
      <c r="D42">
        <v>242</v>
      </c>
    </row>
    <row r="43" spans="2:4" x14ac:dyDescent="0.3">
      <c r="B43">
        <v>244</v>
      </c>
      <c r="D43">
        <v>244</v>
      </c>
    </row>
    <row r="44" spans="2:4" x14ac:dyDescent="0.3">
      <c r="B44">
        <v>244</v>
      </c>
      <c r="D44">
        <v>244</v>
      </c>
    </row>
    <row r="45" spans="2:4" x14ac:dyDescent="0.3">
      <c r="B45">
        <v>247</v>
      </c>
      <c r="D45">
        <v>247</v>
      </c>
    </row>
    <row r="46" spans="2:4" x14ac:dyDescent="0.3">
      <c r="B46">
        <v>248</v>
      </c>
      <c r="D46">
        <v>248</v>
      </c>
    </row>
    <row r="47" spans="2:4" x14ac:dyDescent="0.3">
      <c r="B47">
        <v>248</v>
      </c>
      <c r="D47">
        <v>248</v>
      </c>
    </row>
    <row r="48" spans="2:4" x14ac:dyDescent="0.3">
      <c r="B48">
        <v>248</v>
      </c>
      <c r="D48">
        <v>248</v>
      </c>
    </row>
    <row r="49" spans="2:4" x14ac:dyDescent="0.3">
      <c r="B49">
        <v>250</v>
      </c>
      <c r="D49">
        <v>250</v>
      </c>
    </row>
    <row r="50" spans="2:4" x14ac:dyDescent="0.3">
      <c r="B50">
        <v>251</v>
      </c>
      <c r="D50">
        <v>251</v>
      </c>
    </row>
    <row r="51" spans="2:4" x14ac:dyDescent="0.3">
      <c r="B51">
        <v>252</v>
      </c>
      <c r="D51">
        <v>252</v>
      </c>
    </row>
    <row r="52" spans="2:4" x14ac:dyDescent="0.3">
      <c r="B52">
        <v>252</v>
      </c>
      <c r="D52">
        <v>252</v>
      </c>
    </row>
    <row r="53" spans="2:4" x14ac:dyDescent="0.3">
      <c r="B53">
        <v>253</v>
      </c>
      <c r="D53">
        <v>253</v>
      </c>
    </row>
    <row r="54" spans="2:4" x14ac:dyDescent="0.3">
      <c r="B54">
        <v>256</v>
      </c>
      <c r="D54">
        <v>256</v>
      </c>
    </row>
    <row r="55" spans="2:4" x14ac:dyDescent="0.3">
      <c r="B55">
        <v>256</v>
      </c>
      <c r="D55">
        <v>256</v>
      </c>
    </row>
    <row r="56" spans="2:4" x14ac:dyDescent="0.3">
      <c r="B56">
        <v>257</v>
      </c>
      <c r="D56">
        <v>257</v>
      </c>
    </row>
    <row r="57" spans="2:4" x14ac:dyDescent="0.3">
      <c r="B57">
        <v>257</v>
      </c>
      <c r="D57">
        <v>257</v>
      </c>
    </row>
    <row r="58" spans="2:4" x14ac:dyDescent="0.3">
      <c r="B58">
        <v>257</v>
      </c>
      <c r="D58">
        <v>257</v>
      </c>
    </row>
    <row r="59" spans="2:4" x14ac:dyDescent="0.3">
      <c r="B59">
        <v>258</v>
      </c>
      <c r="D59">
        <v>258</v>
      </c>
    </row>
    <row r="60" spans="2:4" x14ac:dyDescent="0.3">
      <c r="B60">
        <v>258</v>
      </c>
      <c r="D60">
        <v>258</v>
      </c>
    </row>
    <row r="61" spans="2:4" x14ac:dyDescent="0.3">
      <c r="B61">
        <v>259</v>
      </c>
      <c r="D61">
        <v>259</v>
      </c>
    </row>
    <row r="62" spans="2:4" x14ac:dyDescent="0.3">
      <c r="B62">
        <v>259</v>
      </c>
      <c r="D62">
        <v>259</v>
      </c>
    </row>
    <row r="63" spans="2:4" x14ac:dyDescent="0.3">
      <c r="B63">
        <v>259</v>
      </c>
      <c r="D63">
        <v>259</v>
      </c>
    </row>
    <row r="64" spans="2:4" x14ac:dyDescent="0.3">
      <c r="B64">
        <v>260</v>
      </c>
      <c r="D64">
        <v>260</v>
      </c>
    </row>
    <row r="65" spans="2:4" x14ac:dyDescent="0.3">
      <c r="B65">
        <v>260</v>
      </c>
      <c r="D65">
        <v>260</v>
      </c>
    </row>
    <row r="66" spans="2:4" x14ac:dyDescent="0.3">
      <c r="B66">
        <v>260</v>
      </c>
      <c r="D66">
        <v>260</v>
      </c>
    </row>
    <row r="67" spans="2:4" x14ac:dyDescent="0.3">
      <c r="B67">
        <v>261</v>
      </c>
      <c r="D67">
        <v>261</v>
      </c>
    </row>
    <row r="68" spans="2:4" x14ac:dyDescent="0.3">
      <c r="B68">
        <v>262</v>
      </c>
      <c r="D68">
        <v>262</v>
      </c>
    </row>
    <row r="69" spans="2:4" x14ac:dyDescent="0.3">
      <c r="B69">
        <v>262</v>
      </c>
      <c r="D69">
        <v>262</v>
      </c>
    </row>
    <row r="70" spans="2:4" x14ac:dyDescent="0.3">
      <c r="B70">
        <v>263</v>
      </c>
      <c r="D70">
        <v>263</v>
      </c>
    </row>
    <row r="71" spans="2:4" x14ac:dyDescent="0.3">
      <c r="B71">
        <v>263</v>
      </c>
      <c r="D71">
        <v>263</v>
      </c>
    </row>
    <row r="72" spans="2:4" x14ac:dyDescent="0.3">
      <c r="B72">
        <v>263</v>
      </c>
      <c r="D72">
        <v>263</v>
      </c>
    </row>
    <row r="73" spans="2:4" x14ac:dyDescent="0.3">
      <c r="B73">
        <v>267</v>
      </c>
      <c r="D73">
        <v>267</v>
      </c>
    </row>
    <row r="74" spans="2:4" x14ac:dyDescent="0.3">
      <c r="B74">
        <v>268</v>
      </c>
      <c r="D74">
        <v>268</v>
      </c>
    </row>
    <row r="75" spans="2:4" x14ac:dyDescent="0.3">
      <c r="B75">
        <v>269</v>
      </c>
      <c r="D75">
        <v>269</v>
      </c>
    </row>
    <row r="76" spans="2:4" x14ac:dyDescent="0.3">
      <c r="B76">
        <v>271</v>
      </c>
      <c r="D76">
        <v>271</v>
      </c>
    </row>
    <row r="77" spans="2:4" x14ac:dyDescent="0.3">
      <c r="B77">
        <v>274</v>
      </c>
      <c r="D77">
        <v>274</v>
      </c>
    </row>
    <row r="78" spans="2:4" x14ac:dyDescent="0.3">
      <c r="B78">
        <v>276</v>
      </c>
      <c r="D78">
        <v>276</v>
      </c>
    </row>
    <row r="79" spans="2:4" x14ac:dyDescent="0.3">
      <c r="B79">
        <v>279</v>
      </c>
      <c r="D79">
        <v>279</v>
      </c>
    </row>
    <row r="80" spans="2:4" x14ac:dyDescent="0.3">
      <c r="B80">
        <v>280</v>
      </c>
      <c r="D80">
        <v>280</v>
      </c>
    </row>
    <row r="81" spans="2:4" x14ac:dyDescent="0.3">
      <c r="B81">
        <v>281</v>
      </c>
      <c r="D81">
        <v>281</v>
      </c>
    </row>
    <row r="82" spans="2:4" x14ac:dyDescent="0.3">
      <c r="B82">
        <v>282</v>
      </c>
      <c r="D82">
        <v>282</v>
      </c>
    </row>
    <row r="83" spans="2:4" x14ac:dyDescent="0.3">
      <c r="B83">
        <v>283</v>
      </c>
      <c r="D83">
        <v>283</v>
      </c>
    </row>
    <row r="84" spans="2:4" x14ac:dyDescent="0.3">
      <c r="B84">
        <v>286</v>
      </c>
      <c r="D84">
        <v>286</v>
      </c>
    </row>
    <row r="85" spans="2:4" x14ac:dyDescent="0.3">
      <c r="B85">
        <v>288</v>
      </c>
      <c r="D85">
        <v>288</v>
      </c>
    </row>
    <row r="86" spans="2:4" x14ac:dyDescent="0.3">
      <c r="B86">
        <v>288</v>
      </c>
      <c r="D86">
        <v>288</v>
      </c>
    </row>
    <row r="87" spans="2:4" x14ac:dyDescent="0.3">
      <c r="B87">
        <v>290</v>
      </c>
      <c r="D87">
        <v>290</v>
      </c>
    </row>
    <row r="88" spans="2:4" x14ac:dyDescent="0.3">
      <c r="B88">
        <v>296</v>
      </c>
      <c r="D88">
        <v>296</v>
      </c>
    </row>
    <row r="89" spans="2:4" x14ac:dyDescent="0.3">
      <c r="B89">
        <v>296</v>
      </c>
      <c r="D89">
        <v>296</v>
      </c>
    </row>
    <row r="90" spans="2:4" x14ac:dyDescent="0.3">
      <c r="B90">
        <v>298</v>
      </c>
      <c r="D90">
        <v>298</v>
      </c>
    </row>
    <row r="91" spans="2:4" x14ac:dyDescent="0.3">
      <c r="B91">
        <v>298</v>
      </c>
      <c r="D91">
        <v>298</v>
      </c>
    </row>
    <row r="92" spans="2:4" x14ac:dyDescent="0.3">
      <c r="B92">
        <v>299</v>
      </c>
      <c r="D92">
        <v>299</v>
      </c>
    </row>
    <row r="93" spans="2:4" x14ac:dyDescent="0.3">
      <c r="B93">
        <v>302</v>
      </c>
      <c r="D93">
        <v>302</v>
      </c>
    </row>
    <row r="94" spans="2:4" x14ac:dyDescent="0.3">
      <c r="B94">
        <v>302</v>
      </c>
      <c r="D94">
        <v>302</v>
      </c>
    </row>
    <row r="95" spans="2:4" x14ac:dyDescent="0.3">
      <c r="B95">
        <v>303</v>
      </c>
      <c r="D95">
        <v>303</v>
      </c>
    </row>
    <row r="96" spans="2:4" x14ac:dyDescent="0.3">
      <c r="B96">
        <v>303</v>
      </c>
      <c r="D96">
        <v>303</v>
      </c>
    </row>
    <row r="97" spans="2:4" x14ac:dyDescent="0.3">
      <c r="B97">
        <v>309</v>
      </c>
      <c r="D97">
        <v>309</v>
      </c>
    </row>
    <row r="98" spans="2:4" x14ac:dyDescent="0.3">
      <c r="B98">
        <v>314</v>
      </c>
      <c r="D98">
        <v>314</v>
      </c>
    </row>
    <row r="99" spans="2:4" x14ac:dyDescent="0.3">
      <c r="B99">
        <v>315</v>
      </c>
      <c r="D99">
        <v>315</v>
      </c>
    </row>
    <row r="100" spans="2:4" x14ac:dyDescent="0.3">
      <c r="B100">
        <v>316</v>
      </c>
      <c r="D100">
        <v>316</v>
      </c>
    </row>
    <row r="101" spans="2:4" x14ac:dyDescent="0.3">
      <c r="B101">
        <v>316</v>
      </c>
      <c r="D101">
        <v>316</v>
      </c>
    </row>
    <row r="102" spans="2:4" x14ac:dyDescent="0.3">
      <c r="B102">
        <v>317</v>
      </c>
      <c r="D102">
        <v>317</v>
      </c>
    </row>
    <row r="103" spans="2:4" x14ac:dyDescent="0.3">
      <c r="B103">
        <v>320</v>
      </c>
      <c r="D103">
        <v>320</v>
      </c>
    </row>
    <row r="104" spans="2:4" x14ac:dyDescent="0.3">
      <c r="B104">
        <v>322</v>
      </c>
      <c r="D104">
        <v>322</v>
      </c>
    </row>
    <row r="105" spans="2:4" x14ac:dyDescent="0.3">
      <c r="B105">
        <v>325</v>
      </c>
      <c r="D105">
        <v>325</v>
      </c>
    </row>
    <row r="106" spans="2:4" x14ac:dyDescent="0.3">
      <c r="B106">
        <v>325</v>
      </c>
      <c r="D106">
        <v>325</v>
      </c>
    </row>
    <row r="107" spans="2:4" x14ac:dyDescent="0.3">
      <c r="B107">
        <v>328</v>
      </c>
      <c r="D107">
        <v>328</v>
      </c>
    </row>
    <row r="108" spans="2:4" x14ac:dyDescent="0.3">
      <c r="B108">
        <v>329</v>
      </c>
      <c r="D108">
        <v>329</v>
      </c>
    </row>
    <row r="109" spans="2:4" x14ac:dyDescent="0.3">
      <c r="B109">
        <v>331</v>
      </c>
      <c r="D109">
        <v>331</v>
      </c>
    </row>
    <row r="110" spans="2:4" x14ac:dyDescent="0.3">
      <c r="B110">
        <v>332</v>
      </c>
      <c r="D110">
        <v>332</v>
      </c>
    </row>
    <row r="111" spans="2:4" x14ac:dyDescent="0.3">
      <c r="B111">
        <v>334</v>
      </c>
      <c r="D111">
        <v>334</v>
      </c>
    </row>
    <row r="112" spans="2:4" x14ac:dyDescent="0.3">
      <c r="B112">
        <v>345</v>
      </c>
      <c r="D112">
        <v>345</v>
      </c>
    </row>
    <row r="113" spans="2:4" x14ac:dyDescent="0.3">
      <c r="B113">
        <v>346</v>
      </c>
      <c r="D113">
        <v>346</v>
      </c>
    </row>
    <row r="114" spans="2:4" x14ac:dyDescent="0.3">
      <c r="B114">
        <v>346</v>
      </c>
      <c r="D114">
        <v>346</v>
      </c>
    </row>
    <row r="115" spans="2:4" x14ac:dyDescent="0.3">
      <c r="B115">
        <v>353</v>
      </c>
      <c r="D115">
        <v>353</v>
      </c>
    </row>
    <row r="116" spans="2:4" x14ac:dyDescent="0.3">
      <c r="B116">
        <v>358</v>
      </c>
      <c r="D116">
        <v>358</v>
      </c>
    </row>
    <row r="117" spans="2:4" x14ac:dyDescent="0.3">
      <c r="B117">
        <v>360</v>
      </c>
      <c r="D117">
        <v>360</v>
      </c>
    </row>
    <row r="118" spans="2:4" x14ac:dyDescent="0.3">
      <c r="B118">
        <v>361</v>
      </c>
      <c r="D118">
        <v>361</v>
      </c>
    </row>
    <row r="119" spans="2:4" x14ac:dyDescent="0.3">
      <c r="B119">
        <v>364</v>
      </c>
      <c r="D119">
        <v>364</v>
      </c>
    </row>
    <row r="120" spans="2:4" x14ac:dyDescent="0.3">
      <c r="B120">
        <v>364</v>
      </c>
      <c r="D120">
        <v>364</v>
      </c>
    </row>
    <row r="121" spans="2:4" x14ac:dyDescent="0.3">
      <c r="B121">
        <v>370</v>
      </c>
      <c r="D121">
        <v>370</v>
      </c>
    </row>
    <row r="122" spans="2:4" x14ac:dyDescent="0.3">
      <c r="B122">
        <v>372</v>
      </c>
      <c r="D122">
        <v>372</v>
      </c>
    </row>
    <row r="123" spans="2:4" x14ac:dyDescent="0.3">
      <c r="B123">
        <v>373</v>
      </c>
      <c r="D123">
        <v>373</v>
      </c>
    </row>
    <row r="124" spans="2:4" x14ac:dyDescent="0.3">
      <c r="B124">
        <v>374</v>
      </c>
      <c r="D124">
        <v>374</v>
      </c>
    </row>
    <row r="125" spans="2:4" x14ac:dyDescent="0.3">
      <c r="B125">
        <v>374</v>
      </c>
      <c r="D125">
        <v>374</v>
      </c>
    </row>
    <row r="126" spans="2:4" x14ac:dyDescent="0.3">
      <c r="B126">
        <v>376</v>
      </c>
      <c r="D126">
        <v>376</v>
      </c>
    </row>
    <row r="127" spans="2:4" x14ac:dyDescent="0.3">
      <c r="B127">
        <v>383</v>
      </c>
      <c r="D127">
        <v>383</v>
      </c>
    </row>
    <row r="128" spans="2:4" x14ac:dyDescent="0.3">
      <c r="B128">
        <v>390</v>
      </c>
      <c r="D128">
        <v>390</v>
      </c>
    </row>
    <row r="129" spans="2:4" x14ac:dyDescent="0.3">
      <c r="B129">
        <v>390</v>
      </c>
      <c r="D129">
        <v>390</v>
      </c>
    </row>
    <row r="130" spans="2:4" x14ac:dyDescent="0.3">
      <c r="B130">
        <v>394</v>
      </c>
      <c r="D130">
        <v>394</v>
      </c>
    </row>
    <row r="131" spans="2:4" x14ac:dyDescent="0.3">
      <c r="B131">
        <v>395</v>
      </c>
      <c r="D131">
        <v>395</v>
      </c>
    </row>
    <row r="132" spans="2:4" x14ac:dyDescent="0.3">
      <c r="B132">
        <v>396</v>
      </c>
      <c r="D132">
        <v>396</v>
      </c>
    </row>
    <row r="133" spans="2:4" x14ac:dyDescent="0.3">
      <c r="B133">
        <v>396</v>
      </c>
      <c r="D133">
        <v>396</v>
      </c>
    </row>
    <row r="134" spans="2:4" x14ac:dyDescent="0.3">
      <c r="B134">
        <v>399</v>
      </c>
      <c r="D134">
        <v>399</v>
      </c>
    </row>
    <row r="135" spans="2:4" x14ac:dyDescent="0.3">
      <c r="B135">
        <v>400</v>
      </c>
      <c r="D135">
        <v>400</v>
      </c>
    </row>
    <row r="136" spans="2:4" x14ac:dyDescent="0.3">
      <c r="B136">
        <v>400</v>
      </c>
      <c r="D136">
        <v>400</v>
      </c>
    </row>
    <row r="137" spans="2:4" x14ac:dyDescent="0.3">
      <c r="B137">
        <v>404</v>
      </c>
      <c r="D137">
        <v>404</v>
      </c>
    </row>
    <row r="138" spans="2:4" x14ac:dyDescent="0.3">
      <c r="B138">
        <v>408</v>
      </c>
      <c r="D138">
        <v>408</v>
      </c>
    </row>
    <row r="139" spans="2:4" x14ac:dyDescent="0.3">
      <c r="B139">
        <v>408</v>
      </c>
      <c r="D139">
        <v>408</v>
      </c>
    </row>
    <row r="140" spans="2:4" x14ac:dyDescent="0.3">
      <c r="B140">
        <v>414</v>
      </c>
      <c r="D140">
        <v>414</v>
      </c>
    </row>
    <row r="141" spans="2:4" x14ac:dyDescent="0.3">
      <c r="B141">
        <v>416</v>
      </c>
      <c r="D141">
        <v>416</v>
      </c>
    </row>
    <row r="142" spans="2:4" x14ac:dyDescent="0.3">
      <c r="B142">
        <v>420</v>
      </c>
      <c r="D142">
        <v>420</v>
      </c>
    </row>
    <row r="143" spans="2:4" x14ac:dyDescent="0.3">
      <c r="B143">
        <v>420</v>
      </c>
      <c r="D143">
        <v>420</v>
      </c>
    </row>
    <row r="144" spans="2:4" x14ac:dyDescent="0.3">
      <c r="B144">
        <v>426</v>
      </c>
      <c r="D144">
        <v>426</v>
      </c>
    </row>
    <row r="145" spans="2:4" x14ac:dyDescent="0.3">
      <c r="B145">
        <v>426</v>
      </c>
      <c r="D145">
        <v>426</v>
      </c>
    </row>
    <row r="146" spans="2:4" x14ac:dyDescent="0.3">
      <c r="B146">
        <v>427</v>
      </c>
      <c r="D146">
        <v>427</v>
      </c>
    </row>
    <row r="147" spans="2:4" x14ac:dyDescent="0.3">
      <c r="B147">
        <v>436</v>
      </c>
      <c r="D147">
        <v>436</v>
      </c>
    </row>
    <row r="148" spans="2:4" x14ac:dyDescent="0.3">
      <c r="B148">
        <v>448</v>
      </c>
      <c r="D148">
        <v>448</v>
      </c>
    </row>
    <row r="149" spans="2:4" x14ac:dyDescent="0.3">
      <c r="B149">
        <v>448</v>
      </c>
      <c r="D149">
        <v>448</v>
      </c>
    </row>
    <row r="150" spans="2:4" x14ac:dyDescent="0.3">
      <c r="B150">
        <v>448</v>
      </c>
      <c r="D150">
        <v>448</v>
      </c>
    </row>
    <row r="151" spans="2:4" x14ac:dyDescent="0.3">
      <c r="B151">
        <v>450</v>
      </c>
      <c r="D151">
        <v>450</v>
      </c>
    </row>
    <row r="152" spans="2:4" x14ac:dyDescent="0.3">
      <c r="B152">
        <v>456</v>
      </c>
      <c r="D152">
        <v>456</v>
      </c>
    </row>
    <row r="153" spans="2:4" x14ac:dyDescent="0.3">
      <c r="B153">
        <v>458</v>
      </c>
      <c r="D153">
        <v>458</v>
      </c>
    </row>
    <row r="154" spans="2:4" x14ac:dyDescent="0.3">
      <c r="B154">
        <v>460</v>
      </c>
      <c r="D154">
        <v>460</v>
      </c>
    </row>
    <row r="155" spans="2:4" x14ac:dyDescent="0.3">
      <c r="B155">
        <v>460</v>
      </c>
      <c r="D155">
        <v>460</v>
      </c>
    </row>
    <row r="156" spans="2:4" x14ac:dyDescent="0.3">
      <c r="B156">
        <v>464</v>
      </c>
      <c r="D156">
        <v>464</v>
      </c>
    </row>
    <row r="157" spans="2:4" x14ac:dyDescent="0.3">
      <c r="B157">
        <v>466</v>
      </c>
      <c r="D157">
        <v>466</v>
      </c>
    </row>
    <row r="158" spans="2:4" x14ac:dyDescent="0.3">
      <c r="B158">
        <v>472</v>
      </c>
      <c r="D158">
        <v>472</v>
      </c>
    </row>
    <row r="159" spans="2:4" x14ac:dyDescent="0.3">
      <c r="B159">
        <v>478</v>
      </c>
      <c r="D159">
        <v>478</v>
      </c>
    </row>
    <row r="160" spans="2:4" x14ac:dyDescent="0.3">
      <c r="B160">
        <v>482</v>
      </c>
      <c r="D160">
        <v>482</v>
      </c>
    </row>
    <row r="161" spans="2:4" x14ac:dyDescent="0.3">
      <c r="B161">
        <v>486</v>
      </c>
      <c r="D161">
        <v>486</v>
      </c>
    </row>
    <row r="162" spans="2:4" x14ac:dyDescent="0.3">
      <c r="B162">
        <v>498</v>
      </c>
      <c r="D162">
        <v>498</v>
      </c>
    </row>
    <row r="163" spans="2:4" x14ac:dyDescent="0.3">
      <c r="B163">
        <v>502</v>
      </c>
      <c r="D163">
        <v>502</v>
      </c>
    </row>
    <row r="164" spans="2:4" x14ac:dyDescent="0.3">
      <c r="B164">
        <v>528</v>
      </c>
      <c r="D164">
        <v>528</v>
      </c>
    </row>
    <row r="165" spans="2:4" x14ac:dyDescent="0.3">
      <c r="B165">
        <v>556</v>
      </c>
      <c r="D165">
        <v>556</v>
      </c>
    </row>
    <row r="166" spans="2:4" x14ac:dyDescent="0.3">
      <c r="B166">
        <v>558</v>
      </c>
      <c r="D166">
        <v>558</v>
      </c>
    </row>
    <row r="167" spans="2:4" x14ac:dyDescent="0.3">
      <c r="B167">
        <v>562</v>
      </c>
      <c r="D167">
        <v>562</v>
      </c>
    </row>
    <row r="168" spans="2:4" x14ac:dyDescent="0.3">
      <c r="B168">
        <v>578</v>
      </c>
      <c r="D168">
        <v>578</v>
      </c>
    </row>
    <row r="169" spans="2:4" x14ac:dyDescent="0.3">
      <c r="B169">
        <v>586</v>
      </c>
      <c r="D169">
        <v>586</v>
      </c>
    </row>
    <row r="170" spans="2:4" x14ac:dyDescent="0.3">
      <c r="B170">
        <v>604</v>
      </c>
      <c r="D170">
        <v>604</v>
      </c>
    </row>
    <row r="171" spans="2:4" x14ac:dyDescent="0.3">
      <c r="B171">
        <v>608</v>
      </c>
      <c r="D171">
        <v>608</v>
      </c>
    </row>
    <row r="172" spans="2:4" x14ac:dyDescent="0.3">
      <c r="B172">
        <v>614</v>
      </c>
      <c r="D172">
        <v>614</v>
      </c>
    </row>
    <row r="173" spans="2:4" x14ac:dyDescent="0.3">
      <c r="B173">
        <v>636</v>
      </c>
      <c r="D173">
        <v>636</v>
      </c>
    </row>
    <row r="174" spans="2:4" x14ac:dyDescent="0.3">
      <c r="B174">
        <v>652</v>
      </c>
      <c r="D174">
        <v>652</v>
      </c>
    </row>
    <row r="175" spans="2:4" x14ac:dyDescent="0.3">
      <c r="B175">
        <v>660</v>
      </c>
      <c r="D175">
        <v>660</v>
      </c>
    </row>
    <row r="176" spans="2:4" x14ac:dyDescent="0.3">
      <c r="B176">
        <v>674</v>
      </c>
      <c r="D176">
        <v>674</v>
      </c>
    </row>
    <row r="177" spans="2:4" x14ac:dyDescent="0.3">
      <c r="B177">
        <v>674</v>
      </c>
      <c r="D177">
        <v>674</v>
      </c>
    </row>
    <row r="178" spans="2:4" x14ac:dyDescent="0.3">
      <c r="B178">
        <v>808</v>
      </c>
      <c r="D178">
        <v>808</v>
      </c>
    </row>
    <row r="179" spans="2:4" x14ac:dyDescent="0.3">
      <c r="B179">
        <v>932</v>
      </c>
      <c r="D179">
        <v>932</v>
      </c>
    </row>
    <row r="180" spans="2:4" x14ac:dyDescent="0.3">
      <c r="B180">
        <v>950</v>
      </c>
      <c r="D180">
        <v>950</v>
      </c>
    </row>
    <row r="181" spans="2:4" x14ac:dyDescent="0.3">
      <c r="B181">
        <v>1015</v>
      </c>
      <c r="D181">
        <v>1015</v>
      </c>
    </row>
    <row r="182" spans="2:4" x14ac:dyDescent="0.3">
      <c r="B182">
        <v>1128</v>
      </c>
      <c r="D182">
        <v>1128</v>
      </c>
    </row>
    <row r="183" spans="2:4" x14ac:dyDescent="0.3">
      <c r="B183">
        <v>1276</v>
      </c>
      <c r="D183">
        <v>1276</v>
      </c>
    </row>
    <row r="184" spans="2:4" x14ac:dyDescent="0.3">
      <c r="B184">
        <v>1480</v>
      </c>
      <c r="D184">
        <v>248</v>
      </c>
    </row>
    <row r="185" spans="2:4" x14ac:dyDescent="0.3">
      <c r="B185">
        <v>1600</v>
      </c>
      <c r="D185">
        <v>248</v>
      </c>
    </row>
    <row r="186" spans="2:4" x14ac:dyDescent="0.3">
      <c r="B186">
        <v>1775</v>
      </c>
      <c r="D186">
        <v>248</v>
      </c>
    </row>
    <row r="187" spans="2:4" x14ac:dyDescent="0.3">
      <c r="B187" s="10" t="s">
        <v>33</v>
      </c>
      <c r="D187" s="10">
        <v>371</v>
      </c>
    </row>
    <row r="188" spans="2:4" x14ac:dyDescent="0.3">
      <c r="B188" s="10" t="s">
        <v>33</v>
      </c>
      <c r="D188" s="10">
        <v>371</v>
      </c>
    </row>
    <row r="189" spans="2:4" x14ac:dyDescent="0.3">
      <c r="B189" s="10" t="s">
        <v>33</v>
      </c>
      <c r="D189" s="10">
        <v>371</v>
      </c>
    </row>
    <row r="190" spans="2:4" x14ac:dyDescent="0.3">
      <c r="B190" s="10" t="s">
        <v>33</v>
      </c>
      <c r="D190" s="10">
        <v>371</v>
      </c>
    </row>
    <row r="191" spans="2:4" x14ac:dyDescent="0.3">
      <c r="B191" s="10" t="s">
        <v>33</v>
      </c>
      <c r="D191" s="10">
        <v>371</v>
      </c>
    </row>
    <row r="192" spans="2:4" x14ac:dyDescent="0.3">
      <c r="B192" s="10" t="s">
        <v>33</v>
      </c>
      <c r="D192" s="10">
        <v>371</v>
      </c>
    </row>
    <row r="193" spans="2:4" x14ac:dyDescent="0.3">
      <c r="B193" s="10" t="s">
        <v>33</v>
      </c>
      <c r="D193" s="10">
        <v>371</v>
      </c>
    </row>
    <row r="194" spans="2:4" x14ac:dyDescent="0.3">
      <c r="B194" s="10" t="s">
        <v>33</v>
      </c>
      <c r="D194" s="10">
        <v>371</v>
      </c>
    </row>
    <row r="195" spans="2:4" x14ac:dyDescent="0.3">
      <c r="B195" s="10" t="s">
        <v>33</v>
      </c>
      <c r="D195" s="10">
        <v>371</v>
      </c>
    </row>
    <row r="196" spans="2:4" x14ac:dyDescent="0.3">
      <c r="B196" s="10" t="s">
        <v>33</v>
      </c>
      <c r="D196" s="10">
        <v>371</v>
      </c>
    </row>
    <row r="197" spans="2:4" x14ac:dyDescent="0.3">
      <c r="B197" s="10" t="s">
        <v>33</v>
      </c>
      <c r="D197" s="10">
        <v>371</v>
      </c>
    </row>
    <row r="198" spans="2:4" x14ac:dyDescent="0.3">
      <c r="B198" s="10" t="s">
        <v>33</v>
      </c>
      <c r="D198" s="10">
        <v>371</v>
      </c>
    </row>
    <row r="199" spans="2:4" x14ac:dyDescent="0.3">
      <c r="B199" s="10" t="s">
        <v>33</v>
      </c>
      <c r="D199" s="10">
        <v>371</v>
      </c>
    </row>
    <row r="200" spans="2:4" x14ac:dyDescent="0.3">
      <c r="B200" s="10" t="s">
        <v>33</v>
      </c>
      <c r="D200" s="10">
        <v>371</v>
      </c>
    </row>
    <row r="201" spans="2:4" x14ac:dyDescent="0.3">
      <c r="B201" s="10" t="s">
        <v>33</v>
      </c>
      <c r="D201" s="10">
        <v>371</v>
      </c>
    </row>
    <row r="202" spans="2:4" x14ac:dyDescent="0.3">
      <c r="B202" s="10" t="s">
        <v>33</v>
      </c>
      <c r="D202" s="10">
        <v>371</v>
      </c>
    </row>
    <row r="203" spans="2:4" x14ac:dyDescent="0.3">
      <c r="B203" s="10" t="s">
        <v>33</v>
      </c>
      <c r="D203" s="10">
        <v>371</v>
      </c>
    </row>
    <row r="204" spans="2:4" x14ac:dyDescent="0.3">
      <c r="B204" s="10" t="s">
        <v>33</v>
      </c>
      <c r="D204" s="10">
        <v>371</v>
      </c>
    </row>
    <row r="205" spans="2:4" x14ac:dyDescent="0.3">
      <c r="B205" s="10" t="s">
        <v>33</v>
      </c>
      <c r="D205" s="10">
        <v>371</v>
      </c>
    </row>
    <row r="206" spans="2:4" x14ac:dyDescent="0.3">
      <c r="B206" s="10" t="s">
        <v>33</v>
      </c>
      <c r="D206" s="10">
        <v>371</v>
      </c>
    </row>
    <row r="207" spans="2:4" x14ac:dyDescent="0.3">
      <c r="B207" s="10" t="s">
        <v>33</v>
      </c>
      <c r="D207" s="10">
        <v>371</v>
      </c>
    </row>
    <row r="208" spans="2:4" x14ac:dyDescent="0.3">
      <c r="B208" s="10" t="s">
        <v>33</v>
      </c>
      <c r="D208" s="10">
        <v>371</v>
      </c>
    </row>
    <row r="209" spans="1:4" x14ac:dyDescent="0.3">
      <c r="B209" s="10" t="s">
        <v>33</v>
      </c>
      <c r="D209" s="10">
        <v>371</v>
      </c>
    </row>
    <row r="210" spans="1:4" x14ac:dyDescent="0.3">
      <c r="B210" s="10" t="s">
        <v>33</v>
      </c>
      <c r="D210" s="10">
        <v>371</v>
      </c>
    </row>
    <row r="211" spans="1:4" x14ac:dyDescent="0.3">
      <c r="B211" s="10" t="s">
        <v>33</v>
      </c>
      <c r="D211" s="10">
        <v>371</v>
      </c>
    </row>
    <row r="213" spans="1:4" x14ac:dyDescent="0.3">
      <c r="A213" t="s">
        <v>47</v>
      </c>
      <c r="B213" s="3">
        <f>AVERAGE(B$3:B$186)</f>
        <v>371.4728260869565</v>
      </c>
      <c r="D213" s="3">
        <f>AVERAGE(D$3:D$211)</f>
        <v>351.74641148325361</v>
      </c>
    </row>
    <row r="215" spans="1:4" ht="15.6" x14ac:dyDescent="0.3">
      <c r="A215" t="s">
        <v>48</v>
      </c>
      <c r="B215" s="4">
        <f>STDEV(B$3:B$211)</f>
        <v>235.53635877868979</v>
      </c>
      <c r="D215" s="4">
        <f>STDEV(D$3:D$211)</f>
        <v>161.25668679946702</v>
      </c>
    </row>
    <row r="218" spans="1:4" x14ac:dyDescent="0.3">
      <c r="A218" t="s">
        <v>49</v>
      </c>
      <c r="B218">
        <f>MIN(B$3:B$211)</f>
        <v>120</v>
      </c>
      <c r="D218">
        <f>MIN(D$3:D$211)</f>
        <v>120</v>
      </c>
    </row>
    <row r="220" spans="1:4" x14ac:dyDescent="0.3">
      <c r="A220" t="s">
        <v>50</v>
      </c>
      <c r="B220" s="3">
        <f>QUARTILE(B$3:B$211,1)</f>
        <v>249.5</v>
      </c>
      <c r="D220" s="3">
        <f>QUARTILE(D$3:D$211,1)</f>
        <v>252</v>
      </c>
    </row>
    <row r="222" spans="1:4" x14ac:dyDescent="0.3">
      <c r="A222" t="s">
        <v>51</v>
      </c>
      <c r="B222" s="3">
        <f>MEDIAN(B$3:B$211)</f>
        <v>302.5</v>
      </c>
      <c r="D222" s="3">
        <f>MEDIAN(D$3:D$211)</f>
        <v>322</v>
      </c>
    </row>
    <row r="224" spans="1:4" x14ac:dyDescent="0.3">
      <c r="A224" t="s">
        <v>52</v>
      </c>
      <c r="B224">
        <f>QUARTILE(B$3:B$211,3)</f>
        <v>414.5</v>
      </c>
      <c r="D224">
        <f>QUARTILE(D$3:D$211,3)</f>
        <v>395</v>
      </c>
    </row>
    <row r="226" spans="1:4" x14ac:dyDescent="0.3">
      <c r="A226" t="s">
        <v>53</v>
      </c>
      <c r="B226">
        <f>MAX(B$3:B$211)</f>
        <v>1775</v>
      </c>
      <c r="D226">
        <f>MAX(D$3:D$211)</f>
        <v>1276</v>
      </c>
    </row>
    <row r="228" spans="1:4" x14ac:dyDescent="0.3">
      <c r="A228" t="s">
        <v>54</v>
      </c>
      <c r="B228">
        <f>B226-B218</f>
        <v>1655</v>
      </c>
      <c r="D228">
        <f>D226-D218</f>
        <v>1156</v>
      </c>
    </row>
    <row r="230" spans="1:4" x14ac:dyDescent="0.3">
      <c r="A230" t="s">
        <v>55</v>
      </c>
      <c r="B230">
        <f>B220-B224</f>
        <v>-165</v>
      </c>
      <c r="D230">
        <f>D220-D224</f>
        <v>-143</v>
      </c>
    </row>
    <row r="232" spans="1:4" x14ac:dyDescent="0.3">
      <c r="A232" t="s">
        <v>56</v>
      </c>
      <c r="B232">
        <f>MODE(B$3:B$211)</f>
        <v>248</v>
      </c>
      <c r="D232">
        <f>MODE(D$3:D$211)</f>
        <v>371</v>
      </c>
    </row>
  </sheetData>
  <sortState xmlns:xlrd2="http://schemas.microsoft.com/office/spreadsheetml/2017/richdata2" ref="B3:B211">
    <sortCondition ref="B3:B211"/>
  </sortState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E1732-597B-4A1E-8ECD-767186436773}">
  <dimension ref="C1:I233"/>
  <sheetViews>
    <sheetView topLeftCell="A67" workbookViewId="0">
      <selection activeCell="J26" sqref="J26"/>
    </sheetView>
  </sheetViews>
  <sheetFormatPr defaultRowHeight="14.4" x14ac:dyDescent="0.3"/>
  <cols>
    <col min="7" max="7" width="14.5546875" customWidth="1"/>
  </cols>
  <sheetData>
    <row r="1" spans="4:9" x14ac:dyDescent="0.3">
      <c r="D1">
        <v>12</v>
      </c>
    </row>
    <row r="2" spans="4:9" x14ac:dyDescent="0.3">
      <c r="D2" t="s">
        <v>11</v>
      </c>
      <c r="G2" t="s">
        <v>58</v>
      </c>
      <c r="H2" t="s">
        <v>115</v>
      </c>
    </row>
    <row r="3" spans="4:9" x14ac:dyDescent="0.3">
      <c r="D3" s="8">
        <v>2.27</v>
      </c>
      <c r="G3" t="s">
        <v>116</v>
      </c>
      <c r="H3" t="s">
        <v>61</v>
      </c>
      <c r="I3" s="8"/>
    </row>
    <row r="4" spans="4:9" ht="15.6" x14ac:dyDescent="0.3">
      <c r="D4" s="8">
        <v>2.4300000000000002</v>
      </c>
      <c r="I4" s="9"/>
    </row>
    <row r="5" spans="4:9" ht="15.6" x14ac:dyDescent="0.3">
      <c r="D5" s="8">
        <v>2.5299999999999998</v>
      </c>
      <c r="I5" s="9"/>
    </row>
    <row r="6" spans="4:9" x14ac:dyDescent="0.3">
      <c r="D6" s="8">
        <v>2.54</v>
      </c>
    </row>
    <row r="7" spans="4:9" x14ac:dyDescent="0.3">
      <c r="D7" s="8">
        <v>2.54</v>
      </c>
    </row>
    <row r="8" spans="4:9" ht="15.6" x14ac:dyDescent="0.3">
      <c r="D8" s="8">
        <v>2.56</v>
      </c>
      <c r="G8" s="11" t="s">
        <v>74</v>
      </c>
      <c r="H8" s="11"/>
      <c r="I8" s="11"/>
    </row>
    <row r="9" spans="4:9" ht="15.6" x14ac:dyDescent="0.3">
      <c r="D9" s="8">
        <v>2.6</v>
      </c>
      <c r="G9" s="11"/>
      <c r="H9" s="11"/>
      <c r="I9" s="11"/>
    </row>
    <row r="10" spans="4:9" ht="15.6" x14ac:dyDescent="0.3">
      <c r="D10" s="8">
        <v>2.64</v>
      </c>
      <c r="G10" s="11" t="s">
        <v>137</v>
      </c>
      <c r="H10" s="11" t="s">
        <v>119</v>
      </c>
      <c r="I10" s="11">
        <v>63</v>
      </c>
    </row>
    <row r="11" spans="4:9" ht="15.6" x14ac:dyDescent="0.3">
      <c r="D11" s="8">
        <v>2.74</v>
      </c>
      <c r="G11" s="11" t="s">
        <v>138</v>
      </c>
      <c r="H11" s="11" t="s">
        <v>121</v>
      </c>
      <c r="I11" s="11">
        <v>146</v>
      </c>
    </row>
    <row r="12" spans="4:9" x14ac:dyDescent="0.3">
      <c r="D12" s="8">
        <v>2.75</v>
      </c>
    </row>
    <row r="13" spans="4:9" x14ac:dyDescent="0.3">
      <c r="D13" s="8">
        <v>2.8</v>
      </c>
    </row>
    <row r="14" spans="4:9" x14ac:dyDescent="0.3">
      <c r="D14" s="8">
        <v>2.84</v>
      </c>
    </row>
    <row r="15" spans="4:9" x14ac:dyDescent="0.3">
      <c r="D15" s="8">
        <v>2.89</v>
      </c>
    </row>
    <row r="16" spans="4:9" x14ac:dyDescent="0.3">
      <c r="D16" s="8">
        <v>2.93</v>
      </c>
    </row>
    <row r="17" spans="4:4" x14ac:dyDescent="0.3">
      <c r="D17" s="8">
        <v>2.94</v>
      </c>
    </row>
    <row r="18" spans="4:4" x14ac:dyDescent="0.3">
      <c r="D18" s="8">
        <v>3</v>
      </c>
    </row>
    <row r="19" spans="4:4" x14ac:dyDescent="0.3">
      <c r="D19" s="8">
        <v>3</v>
      </c>
    </row>
    <row r="20" spans="4:4" x14ac:dyDescent="0.3">
      <c r="D20" s="8">
        <v>3.01</v>
      </c>
    </row>
    <row r="21" spans="4:4" x14ac:dyDescent="0.3">
      <c r="D21" s="8">
        <v>3.01</v>
      </c>
    </row>
    <row r="22" spans="4:4" x14ac:dyDescent="0.3">
      <c r="D22" s="8">
        <v>3.02</v>
      </c>
    </row>
    <row r="23" spans="4:4" x14ac:dyDescent="0.3">
      <c r="D23" s="8">
        <v>3.03</v>
      </c>
    </row>
    <row r="24" spans="4:4" x14ac:dyDescent="0.3">
      <c r="D24" s="8">
        <v>3.08</v>
      </c>
    </row>
    <row r="25" spans="4:4" x14ac:dyDescent="0.3">
      <c r="D25" s="8">
        <v>3.08</v>
      </c>
    </row>
    <row r="26" spans="4:4" x14ac:dyDescent="0.3">
      <c r="D26" s="8">
        <v>3.08</v>
      </c>
    </row>
    <row r="27" spans="4:4" x14ac:dyDescent="0.3">
      <c r="D27" s="8">
        <v>3.1</v>
      </c>
    </row>
    <row r="28" spans="4:4" x14ac:dyDescent="0.3">
      <c r="D28" s="8">
        <v>3.11</v>
      </c>
    </row>
    <row r="29" spans="4:4" x14ac:dyDescent="0.3">
      <c r="D29" s="8">
        <v>3.11</v>
      </c>
    </row>
    <row r="30" spans="4:4" x14ac:dyDescent="0.3">
      <c r="D30" s="8">
        <v>3.12</v>
      </c>
    </row>
    <row r="31" spans="4:4" x14ac:dyDescent="0.3">
      <c r="D31" s="8">
        <v>3.12</v>
      </c>
    </row>
    <row r="32" spans="4:4" x14ac:dyDescent="0.3">
      <c r="D32" s="8">
        <v>3.13</v>
      </c>
    </row>
    <row r="33" spans="4:4" x14ac:dyDescent="0.3">
      <c r="D33" s="8">
        <v>3.15</v>
      </c>
    </row>
    <row r="34" spans="4:4" x14ac:dyDescent="0.3">
      <c r="D34" s="8">
        <v>3.18</v>
      </c>
    </row>
    <row r="35" spans="4:4" x14ac:dyDescent="0.3">
      <c r="D35" s="8">
        <v>3.19</v>
      </c>
    </row>
    <row r="36" spans="4:4" x14ac:dyDescent="0.3">
      <c r="D36" s="8">
        <v>3.19</v>
      </c>
    </row>
    <row r="37" spans="4:4" x14ac:dyDescent="0.3">
      <c r="D37" s="8">
        <v>3.2</v>
      </c>
    </row>
    <row r="38" spans="4:4" x14ac:dyDescent="0.3">
      <c r="D38" s="8">
        <v>3.2</v>
      </c>
    </row>
    <row r="39" spans="4:4" x14ac:dyDescent="0.3">
      <c r="D39" s="8">
        <v>3.21</v>
      </c>
    </row>
    <row r="40" spans="4:4" x14ac:dyDescent="0.3">
      <c r="D40" s="8">
        <v>3.22</v>
      </c>
    </row>
    <row r="41" spans="4:4" x14ac:dyDescent="0.3">
      <c r="D41" s="8">
        <v>3.23</v>
      </c>
    </row>
    <row r="42" spans="4:4" x14ac:dyDescent="0.3">
      <c r="D42" s="8">
        <v>3.23</v>
      </c>
    </row>
    <row r="43" spans="4:4" x14ac:dyDescent="0.3">
      <c r="D43" s="8">
        <v>3.26</v>
      </c>
    </row>
    <row r="44" spans="4:4" x14ac:dyDescent="0.3">
      <c r="D44" s="8">
        <v>3.26</v>
      </c>
    </row>
    <row r="45" spans="4:4" x14ac:dyDescent="0.3">
      <c r="D45" s="8">
        <v>3.26</v>
      </c>
    </row>
    <row r="46" spans="4:4" x14ac:dyDescent="0.3">
      <c r="D46" s="8">
        <v>3.26</v>
      </c>
    </row>
    <row r="47" spans="4:4" x14ac:dyDescent="0.3">
      <c r="D47" s="8">
        <v>3.26</v>
      </c>
    </row>
    <row r="48" spans="4:4" x14ac:dyDescent="0.3">
      <c r="D48" s="8">
        <v>3.3</v>
      </c>
    </row>
    <row r="49" spans="4:4" x14ac:dyDescent="0.3">
      <c r="D49" s="8">
        <v>3.31</v>
      </c>
    </row>
    <row r="50" spans="4:4" x14ac:dyDescent="0.3">
      <c r="D50" s="8">
        <v>3.31</v>
      </c>
    </row>
    <row r="51" spans="4:4" x14ac:dyDescent="0.3">
      <c r="D51" s="8">
        <v>3.31</v>
      </c>
    </row>
    <row r="52" spans="4:4" x14ac:dyDescent="0.3">
      <c r="D52" s="8">
        <v>3.33</v>
      </c>
    </row>
    <row r="53" spans="4:4" x14ac:dyDescent="0.3">
      <c r="D53" s="8">
        <v>3.34</v>
      </c>
    </row>
    <row r="54" spans="4:4" x14ac:dyDescent="0.3">
      <c r="D54" s="8">
        <v>3.34</v>
      </c>
    </row>
    <row r="55" spans="4:4" x14ac:dyDescent="0.3">
      <c r="D55" s="8">
        <v>3.34</v>
      </c>
    </row>
    <row r="56" spans="4:4" x14ac:dyDescent="0.3">
      <c r="D56" s="8">
        <v>3.34</v>
      </c>
    </row>
    <row r="57" spans="4:4" x14ac:dyDescent="0.3">
      <c r="D57" s="8">
        <v>3.35</v>
      </c>
    </row>
    <row r="58" spans="4:4" x14ac:dyDescent="0.3">
      <c r="D58" s="8">
        <v>3.35</v>
      </c>
    </row>
    <row r="59" spans="4:4" x14ac:dyDescent="0.3">
      <c r="D59" s="8">
        <v>3.35</v>
      </c>
    </row>
    <row r="60" spans="4:4" x14ac:dyDescent="0.3">
      <c r="D60" s="8">
        <v>3.36</v>
      </c>
    </row>
    <row r="61" spans="4:4" x14ac:dyDescent="0.3">
      <c r="D61" s="8">
        <v>3.37</v>
      </c>
    </row>
    <row r="62" spans="4:4" x14ac:dyDescent="0.3">
      <c r="D62" s="8">
        <v>3.37</v>
      </c>
    </row>
    <row r="63" spans="4:4" x14ac:dyDescent="0.3">
      <c r="D63" s="8">
        <v>3.37</v>
      </c>
    </row>
    <row r="64" spans="4:4" x14ac:dyDescent="0.3">
      <c r="D64" s="8">
        <v>3.38</v>
      </c>
    </row>
    <row r="65" spans="4:4" x14ac:dyDescent="0.3">
      <c r="D65" s="8">
        <v>3.39</v>
      </c>
    </row>
    <row r="66" spans="4:4" x14ac:dyDescent="0.3">
      <c r="D66" s="8">
        <v>3.4</v>
      </c>
    </row>
    <row r="67" spans="4:4" x14ac:dyDescent="0.3">
      <c r="D67" s="8">
        <v>3.4</v>
      </c>
    </row>
    <row r="68" spans="4:4" x14ac:dyDescent="0.3">
      <c r="D68" s="8">
        <v>3.4</v>
      </c>
    </row>
    <row r="69" spans="4:4" x14ac:dyDescent="0.3">
      <c r="D69" s="8">
        <v>3.41</v>
      </c>
    </row>
    <row r="70" spans="4:4" x14ac:dyDescent="0.3">
      <c r="D70" s="8">
        <v>3.42</v>
      </c>
    </row>
    <row r="71" spans="4:4" x14ac:dyDescent="0.3">
      <c r="D71" s="8">
        <v>3.42</v>
      </c>
    </row>
    <row r="72" spans="4:4" x14ac:dyDescent="0.3">
      <c r="D72" s="8">
        <v>3.43</v>
      </c>
    </row>
    <row r="73" spans="4:4" x14ac:dyDescent="0.3">
      <c r="D73" s="8">
        <v>3.43</v>
      </c>
    </row>
    <row r="74" spans="4:4" x14ac:dyDescent="0.3">
      <c r="D74" s="8">
        <v>3.43</v>
      </c>
    </row>
    <row r="75" spans="4:4" x14ac:dyDescent="0.3">
      <c r="D75" s="8">
        <v>3.44</v>
      </c>
    </row>
    <row r="76" spans="4:4" x14ac:dyDescent="0.3">
      <c r="D76" s="8">
        <v>3.44</v>
      </c>
    </row>
    <row r="77" spans="4:4" x14ac:dyDescent="0.3">
      <c r="D77" s="8">
        <v>3.45</v>
      </c>
    </row>
    <row r="78" spans="4:4" x14ac:dyDescent="0.3">
      <c r="D78" s="8">
        <v>3.46</v>
      </c>
    </row>
    <row r="79" spans="4:4" x14ac:dyDescent="0.3">
      <c r="D79" s="8">
        <v>3.46</v>
      </c>
    </row>
    <row r="80" spans="4:4" x14ac:dyDescent="0.3">
      <c r="D80" s="8">
        <v>3.47</v>
      </c>
    </row>
    <row r="81" spans="4:4" x14ac:dyDescent="0.3">
      <c r="D81" s="8">
        <v>3.48</v>
      </c>
    </row>
    <row r="82" spans="4:4" x14ac:dyDescent="0.3">
      <c r="D82" s="8">
        <v>3.48</v>
      </c>
    </row>
    <row r="83" spans="4:4" x14ac:dyDescent="0.3">
      <c r="D83" s="8">
        <v>3.48</v>
      </c>
    </row>
    <row r="84" spans="4:4" x14ac:dyDescent="0.3">
      <c r="D84" s="8">
        <v>3.48</v>
      </c>
    </row>
    <row r="85" spans="4:4" x14ac:dyDescent="0.3">
      <c r="D85" s="8">
        <v>3.48</v>
      </c>
    </row>
    <row r="86" spans="4:4" x14ac:dyDescent="0.3">
      <c r="D86" s="8">
        <v>3.5</v>
      </c>
    </row>
    <row r="87" spans="4:4" x14ac:dyDescent="0.3">
      <c r="D87" s="8">
        <v>3.5</v>
      </c>
    </row>
    <row r="88" spans="4:4" x14ac:dyDescent="0.3">
      <c r="D88" s="8">
        <v>3.5</v>
      </c>
    </row>
    <row r="89" spans="4:4" x14ac:dyDescent="0.3">
      <c r="D89" s="8">
        <v>3.5</v>
      </c>
    </row>
    <row r="90" spans="4:4" x14ac:dyDescent="0.3">
      <c r="D90" s="8">
        <v>3.51</v>
      </c>
    </row>
    <row r="91" spans="4:4" x14ac:dyDescent="0.3">
      <c r="D91" s="8">
        <v>3.51</v>
      </c>
    </row>
    <row r="92" spans="4:4" x14ac:dyDescent="0.3">
      <c r="D92" s="8">
        <v>3.52</v>
      </c>
    </row>
    <row r="93" spans="4:4" x14ac:dyDescent="0.3">
      <c r="D93" s="8">
        <v>3.52</v>
      </c>
    </row>
    <row r="94" spans="4:4" x14ac:dyDescent="0.3">
      <c r="D94" s="8">
        <v>3.53</v>
      </c>
    </row>
    <row r="95" spans="4:4" x14ac:dyDescent="0.3">
      <c r="D95" s="8">
        <v>3.53</v>
      </c>
    </row>
    <row r="96" spans="4:4" x14ac:dyDescent="0.3">
      <c r="D96" s="8">
        <v>3.53</v>
      </c>
    </row>
    <row r="97" spans="4:4" x14ac:dyDescent="0.3">
      <c r="D97" s="8">
        <v>3.54</v>
      </c>
    </row>
    <row r="98" spans="4:4" x14ac:dyDescent="0.3">
      <c r="D98" s="8">
        <v>3.54</v>
      </c>
    </row>
    <row r="99" spans="4:4" x14ac:dyDescent="0.3">
      <c r="D99" s="8">
        <v>3.54</v>
      </c>
    </row>
    <row r="100" spans="4:4" x14ac:dyDescent="0.3">
      <c r="D100" s="8">
        <v>3.54</v>
      </c>
    </row>
    <row r="101" spans="4:4" x14ac:dyDescent="0.3">
      <c r="D101" s="8">
        <v>3.55</v>
      </c>
    </row>
    <row r="102" spans="4:4" x14ac:dyDescent="0.3">
      <c r="D102" s="8">
        <v>3.55</v>
      </c>
    </row>
    <row r="103" spans="4:4" x14ac:dyDescent="0.3">
      <c r="D103" s="8">
        <v>3.56</v>
      </c>
    </row>
    <row r="104" spans="4:4" x14ac:dyDescent="0.3">
      <c r="D104" s="8">
        <v>3.56</v>
      </c>
    </row>
    <row r="105" spans="4:4" x14ac:dyDescent="0.3">
      <c r="D105" s="8">
        <v>3.56</v>
      </c>
    </row>
    <row r="106" spans="4:4" x14ac:dyDescent="0.3">
      <c r="D106" s="8">
        <v>3.57</v>
      </c>
    </row>
    <row r="107" spans="4:4" x14ac:dyDescent="0.3">
      <c r="D107" s="8">
        <v>3.57</v>
      </c>
    </row>
    <row r="108" spans="4:4" x14ac:dyDescent="0.3">
      <c r="D108" s="8">
        <v>3.58</v>
      </c>
    </row>
    <row r="109" spans="4:4" x14ac:dyDescent="0.3">
      <c r="D109" s="8">
        <v>3.6</v>
      </c>
    </row>
    <row r="110" spans="4:4" x14ac:dyDescent="0.3">
      <c r="D110" s="8">
        <v>3.6</v>
      </c>
    </row>
    <row r="111" spans="4:4" x14ac:dyDescent="0.3">
      <c r="D111" s="8">
        <v>3.6</v>
      </c>
    </row>
    <row r="112" spans="4:4" x14ac:dyDescent="0.3">
      <c r="D112" s="8">
        <v>3.6</v>
      </c>
    </row>
    <row r="113" spans="4:4" x14ac:dyDescent="0.3">
      <c r="D113" s="8">
        <v>3.6</v>
      </c>
    </row>
    <row r="114" spans="4:4" x14ac:dyDescent="0.3">
      <c r="D114" s="8">
        <v>3.6</v>
      </c>
    </row>
    <row r="115" spans="4:4" x14ac:dyDescent="0.3">
      <c r="D115" s="8">
        <v>3.61</v>
      </c>
    </row>
    <row r="116" spans="4:4" x14ac:dyDescent="0.3">
      <c r="D116" s="8">
        <v>3.61</v>
      </c>
    </row>
    <row r="117" spans="4:4" x14ac:dyDescent="0.3">
      <c r="D117" s="8">
        <v>3.62</v>
      </c>
    </row>
    <row r="118" spans="4:4" x14ac:dyDescent="0.3">
      <c r="D118" s="8">
        <v>3.63</v>
      </c>
    </row>
    <row r="119" spans="4:4" x14ac:dyDescent="0.3">
      <c r="D119" s="8">
        <v>3.63</v>
      </c>
    </row>
    <row r="120" spans="4:4" x14ac:dyDescent="0.3">
      <c r="D120" s="8">
        <v>3.63</v>
      </c>
    </row>
    <row r="121" spans="4:4" x14ac:dyDescent="0.3">
      <c r="D121" s="8">
        <v>3.64</v>
      </c>
    </row>
    <row r="122" spans="4:4" x14ac:dyDescent="0.3">
      <c r="D122" s="8">
        <v>3.64</v>
      </c>
    </row>
    <row r="123" spans="4:4" x14ac:dyDescent="0.3">
      <c r="D123" s="8">
        <v>3.65</v>
      </c>
    </row>
    <row r="124" spans="4:4" x14ac:dyDescent="0.3">
      <c r="D124" s="8">
        <v>3.65</v>
      </c>
    </row>
    <row r="125" spans="4:4" x14ac:dyDescent="0.3">
      <c r="D125" s="8">
        <v>3.65</v>
      </c>
    </row>
    <row r="126" spans="4:4" x14ac:dyDescent="0.3">
      <c r="D126" s="8">
        <v>3.65</v>
      </c>
    </row>
    <row r="127" spans="4:4" x14ac:dyDescent="0.3">
      <c r="D127" s="8">
        <v>3.66</v>
      </c>
    </row>
    <row r="128" spans="4:4" x14ac:dyDescent="0.3">
      <c r="D128" s="8">
        <v>3.67</v>
      </c>
    </row>
    <row r="129" spans="4:4" x14ac:dyDescent="0.3">
      <c r="D129" s="8">
        <v>3.67</v>
      </c>
    </row>
    <row r="130" spans="4:4" x14ac:dyDescent="0.3">
      <c r="D130" s="8">
        <v>3.67</v>
      </c>
    </row>
    <row r="131" spans="4:4" x14ac:dyDescent="0.3">
      <c r="D131" s="8">
        <v>3.67</v>
      </c>
    </row>
    <row r="132" spans="4:4" x14ac:dyDescent="0.3">
      <c r="D132" s="8">
        <v>3.68</v>
      </c>
    </row>
    <row r="133" spans="4:4" x14ac:dyDescent="0.3">
      <c r="D133" s="8">
        <v>3.68</v>
      </c>
    </row>
    <row r="134" spans="4:4" x14ac:dyDescent="0.3">
      <c r="D134" s="8">
        <v>3.69</v>
      </c>
    </row>
    <row r="135" spans="4:4" x14ac:dyDescent="0.3">
      <c r="D135" s="8">
        <v>3.7</v>
      </c>
    </row>
    <row r="136" spans="4:4" x14ac:dyDescent="0.3">
      <c r="D136" s="8">
        <v>3.7</v>
      </c>
    </row>
    <row r="137" spans="4:4" x14ac:dyDescent="0.3">
      <c r="D137" s="8">
        <v>3.7</v>
      </c>
    </row>
    <row r="138" spans="4:4" x14ac:dyDescent="0.3">
      <c r="D138" s="8">
        <v>3.7</v>
      </c>
    </row>
    <row r="139" spans="4:4" x14ac:dyDescent="0.3">
      <c r="D139" s="8">
        <v>3.7</v>
      </c>
    </row>
    <row r="140" spans="4:4" x14ac:dyDescent="0.3">
      <c r="D140" s="8">
        <v>3.72</v>
      </c>
    </row>
    <row r="141" spans="4:4" x14ac:dyDescent="0.3">
      <c r="D141" s="8">
        <v>3.73</v>
      </c>
    </row>
    <row r="142" spans="4:4" x14ac:dyDescent="0.3">
      <c r="D142" s="8">
        <v>3.74</v>
      </c>
    </row>
    <row r="143" spans="4:4" x14ac:dyDescent="0.3">
      <c r="D143" s="8">
        <v>3.76</v>
      </c>
    </row>
    <row r="144" spans="4:4" x14ac:dyDescent="0.3">
      <c r="D144" s="8">
        <v>3.76</v>
      </c>
    </row>
    <row r="145" spans="4:4" x14ac:dyDescent="0.3">
      <c r="D145" s="8">
        <v>3.77</v>
      </c>
    </row>
    <row r="146" spans="4:4" x14ac:dyDescent="0.3">
      <c r="D146" s="8">
        <v>3.77</v>
      </c>
    </row>
    <row r="147" spans="4:4" x14ac:dyDescent="0.3">
      <c r="D147" s="8">
        <v>3.78</v>
      </c>
    </row>
    <row r="148" spans="4:4" x14ac:dyDescent="0.3">
      <c r="D148" s="8">
        <v>3.79</v>
      </c>
    </row>
    <row r="149" spans="4:4" x14ac:dyDescent="0.3">
      <c r="D149" s="8">
        <v>3.8</v>
      </c>
    </row>
    <row r="150" spans="4:4" x14ac:dyDescent="0.3">
      <c r="D150" s="8">
        <v>3.8</v>
      </c>
    </row>
    <row r="151" spans="4:4" x14ac:dyDescent="0.3">
      <c r="D151" s="8">
        <v>3.8</v>
      </c>
    </row>
    <row r="152" spans="4:4" x14ac:dyDescent="0.3">
      <c r="D152" s="8">
        <v>3.8</v>
      </c>
    </row>
    <row r="153" spans="4:4" x14ac:dyDescent="0.3">
      <c r="D153" s="8">
        <v>3.82</v>
      </c>
    </row>
    <row r="154" spans="4:4" x14ac:dyDescent="0.3">
      <c r="D154" s="8">
        <v>3.83</v>
      </c>
    </row>
    <row r="155" spans="4:4" x14ac:dyDescent="0.3">
      <c r="D155" s="8">
        <v>3.83</v>
      </c>
    </row>
    <row r="156" spans="4:4" x14ac:dyDescent="0.3">
      <c r="D156" s="8">
        <v>3.83</v>
      </c>
    </row>
    <row r="157" spans="4:4" x14ac:dyDescent="0.3">
      <c r="D157" s="8">
        <v>3.83</v>
      </c>
    </row>
    <row r="158" spans="4:4" x14ac:dyDescent="0.3">
      <c r="D158" s="8">
        <v>3.84</v>
      </c>
    </row>
    <row r="159" spans="4:4" x14ac:dyDescent="0.3">
      <c r="D159" s="8">
        <v>3.85</v>
      </c>
    </row>
    <row r="160" spans="4:4" x14ac:dyDescent="0.3">
      <c r="D160" s="8">
        <v>3.85</v>
      </c>
    </row>
    <row r="161" spans="4:4" x14ac:dyDescent="0.3">
      <c r="D161" s="8">
        <v>3.85</v>
      </c>
    </row>
    <row r="162" spans="4:4" x14ac:dyDescent="0.3">
      <c r="D162" s="8">
        <v>3.85</v>
      </c>
    </row>
    <row r="163" spans="4:4" x14ac:dyDescent="0.3">
      <c r="D163" s="8">
        <v>3.86</v>
      </c>
    </row>
    <row r="164" spans="4:4" x14ac:dyDescent="0.3">
      <c r="D164" s="8">
        <v>3.87</v>
      </c>
    </row>
    <row r="165" spans="4:4" x14ac:dyDescent="0.3">
      <c r="D165" s="8">
        <v>3.87</v>
      </c>
    </row>
    <row r="166" spans="4:4" x14ac:dyDescent="0.3">
      <c r="D166" s="8">
        <v>3.89</v>
      </c>
    </row>
    <row r="167" spans="4:4" x14ac:dyDescent="0.3">
      <c r="D167" s="8">
        <v>3.89</v>
      </c>
    </row>
    <row r="168" spans="4:4" x14ac:dyDescent="0.3">
      <c r="D168" s="8">
        <v>3.9</v>
      </c>
    </row>
    <row r="169" spans="4:4" x14ac:dyDescent="0.3">
      <c r="D169" s="8">
        <v>3.9</v>
      </c>
    </row>
    <row r="170" spans="4:4" x14ac:dyDescent="0.3">
      <c r="D170" s="8">
        <v>3.91</v>
      </c>
    </row>
    <row r="171" spans="4:4" x14ac:dyDescent="0.3">
      <c r="D171" s="8">
        <v>3.93</v>
      </c>
    </row>
    <row r="172" spans="4:4" x14ac:dyDescent="0.3">
      <c r="D172" s="8">
        <v>3.93</v>
      </c>
    </row>
    <row r="173" spans="4:4" x14ac:dyDescent="0.3">
      <c r="D173" s="8">
        <v>3.94</v>
      </c>
    </row>
    <row r="174" spans="4:4" x14ac:dyDescent="0.3">
      <c r="D174" s="8">
        <v>3.94</v>
      </c>
    </row>
    <row r="175" spans="4:4" x14ac:dyDescent="0.3">
      <c r="D175" s="8">
        <v>3.95</v>
      </c>
    </row>
    <row r="176" spans="4:4" x14ac:dyDescent="0.3">
      <c r="D176" s="8">
        <v>3.97</v>
      </c>
    </row>
    <row r="177" spans="4:4" x14ac:dyDescent="0.3">
      <c r="D177" s="8">
        <v>3.98</v>
      </c>
    </row>
    <row r="178" spans="4:4" x14ac:dyDescent="0.3">
      <c r="D178" s="8">
        <v>3.98</v>
      </c>
    </row>
    <row r="179" spans="4:4" x14ac:dyDescent="0.3">
      <c r="D179" s="8">
        <v>3.98</v>
      </c>
    </row>
    <row r="180" spans="4:4" x14ac:dyDescent="0.3">
      <c r="D180" s="8">
        <v>3.99</v>
      </c>
    </row>
    <row r="181" spans="4:4" x14ac:dyDescent="0.3">
      <c r="D181" s="8">
        <v>4</v>
      </c>
    </row>
    <row r="182" spans="4:4" x14ac:dyDescent="0.3">
      <c r="D182" s="8">
        <v>4</v>
      </c>
    </row>
    <row r="183" spans="4:4" x14ac:dyDescent="0.3">
      <c r="D183" s="8">
        <v>4.01</v>
      </c>
    </row>
    <row r="184" spans="4:4" x14ac:dyDescent="0.3">
      <c r="D184" s="8">
        <v>4.01</v>
      </c>
    </row>
    <row r="185" spans="4:4" x14ac:dyDescent="0.3">
      <c r="D185" s="8">
        <v>4.03</v>
      </c>
    </row>
    <row r="186" spans="4:4" x14ac:dyDescent="0.3">
      <c r="D186" s="8">
        <v>4.0599999999999996</v>
      </c>
    </row>
    <row r="187" spans="4:4" x14ac:dyDescent="0.3">
      <c r="D187" s="8">
        <v>4.07</v>
      </c>
    </row>
    <row r="188" spans="4:4" x14ac:dyDescent="0.3">
      <c r="D188" s="8">
        <v>4.08</v>
      </c>
    </row>
    <row r="189" spans="4:4" x14ac:dyDescent="0.3">
      <c r="D189" s="8">
        <v>4.08</v>
      </c>
    </row>
    <row r="190" spans="4:4" x14ac:dyDescent="0.3">
      <c r="D190" s="8">
        <v>4.08</v>
      </c>
    </row>
    <row r="191" spans="4:4" x14ac:dyDescent="0.3">
      <c r="D191" s="8">
        <v>4.08</v>
      </c>
    </row>
    <row r="192" spans="4:4" x14ac:dyDescent="0.3">
      <c r="D192" s="8">
        <v>4.09</v>
      </c>
    </row>
    <row r="193" spans="4:4" x14ac:dyDescent="0.3">
      <c r="D193" s="8">
        <v>4.09</v>
      </c>
    </row>
    <row r="194" spans="4:4" x14ac:dyDescent="0.3">
      <c r="D194" s="8">
        <v>4.09</v>
      </c>
    </row>
    <row r="195" spans="4:4" x14ac:dyDescent="0.3">
      <c r="D195" s="8">
        <v>4.09</v>
      </c>
    </row>
    <row r="196" spans="4:4" x14ac:dyDescent="0.3">
      <c r="D196" s="8">
        <v>4.0999999999999996</v>
      </c>
    </row>
    <row r="197" spans="4:4" x14ac:dyDescent="0.3">
      <c r="D197" s="8">
        <v>4.13</v>
      </c>
    </row>
    <row r="198" spans="4:4" x14ac:dyDescent="0.3">
      <c r="D198" s="8">
        <v>4.1399999999999997</v>
      </c>
    </row>
    <row r="199" spans="4:4" x14ac:dyDescent="0.3">
      <c r="D199" s="8">
        <v>4.16</v>
      </c>
    </row>
    <row r="200" spans="4:4" x14ac:dyDescent="0.3">
      <c r="D200" s="8">
        <v>4.17</v>
      </c>
    </row>
    <row r="201" spans="4:4" x14ac:dyDescent="0.3">
      <c r="D201" s="8">
        <v>4.18</v>
      </c>
    </row>
    <row r="202" spans="4:4" x14ac:dyDescent="0.3">
      <c r="D202" s="8">
        <v>4.1900000000000004</v>
      </c>
    </row>
    <row r="203" spans="4:4" x14ac:dyDescent="0.3">
      <c r="D203" s="8">
        <v>4.2</v>
      </c>
    </row>
    <row r="204" spans="4:4" x14ac:dyDescent="0.3">
      <c r="D204" s="8">
        <v>4.22</v>
      </c>
    </row>
    <row r="205" spans="4:4" x14ac:dyDescent="0.3">
      <c r="D205" s="8">
        <v>4.22</v>
      </c>
    </row>
    <row r="206" spans="4:4" x14ac:dyDescent="0.3">
      <c r="D206" s="8">
        <v>4.24</v>
      </c>
    </row>
    <row r="207" spans="4:4" x14ac:dyDescent="0.3">
      <c r="D207" s="8">
        <v>4.3</v>
      </c>
    </row>
    <row r="208" spans="4:4" x14ac:dyDescent="0.3">
      <c r="D208" s="8">
        <v>4.38</v>
      </c>
    </row>
    <row r="209" spans="3:4" x14ac:dyDescent="0.3">
      <c r="D209" s="8">
        <v>4.4000000000000004</v>
      </c>
    </row>
    <row r="210" spans="3:4" x14ac:dyDescent="0.3">
      <c r="D210" s="8">
        <v>4.5199999999999996</v>
      </c>
    </row>
    <row r="211" spans="3:4" x14ac:dyDescent="0.3">
      <c r="D211" s="8">
        <v>4.6399999999999997</v>
      </c>
    </row>
    <row r="214" spans="3:4" x14ac:dyDescent="0.3">
      <c r="C214" t="s">
        <v>47</v>
      </c>
      <c r="D214" s="3">
        <f>AVERAGE(D$3:D$211)</f>
        <v>3.5641626794258405</v>
      </c>
    </row>
    <row r="216" spans="3:4" ht="15.6" x14ac:dyDescent="0.3">
      <c r="C216" t="s">
        <v>48</v>
      </c>
      <c r="D216" s="4">
        <f>STDEV(D$3:D$211)</f>
        <v>0.41103924614285764</v>
      </c>
    </row>
    <row r="219" spans="3:4" x14ac:dyDescent="0.3">
      <c r="C219" t="s">
        <v>49</v>
      </c>
      <c r="D219">
        <f>MIN(D$3:D$211)</f>
        <v>2.27</v>
      </c>
    </row>
    <row r="221" spans="3:4" x14ac:dyDescent="0.3">
      <c r="C221" t="s">
        <v>50</v>
      </c>
      <c r="D221" s="3">
        <f>QUARTILE(D$3:D$211,1)</f>
        <v>3.34</v>
      </c>
    </row>
    <row r="223" spans="3:4" x14ac:dyDescent="0.3">
      <c r="C223" t="s">
        <v>51</v>
      </c>
      <c r="D223" s="3">
        <f>MEDIAN(D$3:D$211)</f>
        <v>3.57</v>
      </c>
    </row>
    <row r="225" spans="3:4" x14ac:dyDescent="0.3">
      <c r="C225" t="s">
        <v>52</v>
      </c>
      <c r="D225">
        <f>QUARTILE(D$3:D$211,3)</f>
        <v>3.85</v>
      </c>
    </row>
    <row r="227" spans="3:4" x14ac:dyDescent="0.3">
      <c r="C227" t="s">
        <v>53</v>
      </c>
      <c r="D227">
        <f>MAX(D$3:D$211)</f>
        <v>4.6399999999999997</v>
      </c>
    </row>
    <row r="229" spans="3:4" x14ac:dyDescent="0.3">
      <c r="C229" t="s">
        <v>54</v>
      </c>
      <c r="D229">
        <f>D227-D219</f>
        <v>2.3699999999999997</v>
      </c>
    </row>
    <row r="231" spans="3:4" x14ac:dyDescent="0.3">
      <c r="C231" t="s">
        <v>55</v>
      </c>
      <c r="D231">
        <f>D221-D225</f>
        <v>-0.51000000000000023</v>
      </c>
    </row>
    <row r="233" spans="3:4" x14ac:dyDescent="0.3">
      <c r="C233" t="s">
        <v>56</v>
      </c>
      <c r="D233">
        <f>MODE(D$3:D$211)</f>
        <v>3.6</v>
      </c>
    </row>
  </sheetData>
  <sortState xmlns:xlrd2="http://schemas.microsoft.com/office/spreadsheetml/2017/richdata2" ref="D3:D211">
    <sortCondition ref="D3:D211"/>
  </sortState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363CB-E2EA-44FC-8023-8898FFF40AFB}">
  <dimension ref="A1:I233"/>
  <sheetViews>
    <sheetView topLeftCell="A4" workbookViewId="0">
      <selection activeCell="I223" sqref="I223"/>
    </sheetView>
  </sheetViews>
  <sheetFormatPr defaultRowHeight="14.4" x14ac:dyDescent="0.3"/>
  <cols>
    <col min="3" max="4" width="8.88671875" customWidth="1"/>
    <col min="7" max="7" width="17.5546875" customWidth="1"/>
    <col min="9" max="9" width="24.44140625" customWidth="1"/>
  </cols>
  <sheetData>
    <row r="1" spans="2:9" x14ac:dyDescent="0.3">
      <c r="B1">
        <v>13</v>
      </c>
      <c r="C1">
        <v>13</v>
      </c>
      <c r="D1">
        <v>13</v>
      </c>
    </row>
    <row r="2" spans="2:9" ht="15.6" x14ac:dyDescent="0.3">
      <c r="B2" t="s">
        <v>12</v>
      </c>
      <c r="C2" t="s">
        <v>12</v>
      </c>
      <c r="D2" t="s">
        <v>139</v>
      </c>
      <c r="G2" s="11" t="s">
        <v>58</v>
      </c>
      <c r="H2" s="11" t="s">
        <v>115</v>
      </c>
      <c r="I2" s="11"/>
    </row>
    <row r="3" spans="2:9" ht="18.600000000000001" customHeight="1" x14ac:dyDescent="0.3">
      <c r="B3">
        <v>4</v>
      </c>
      <c r="C3">
        <v>4</v>
      </c>
      <c r="D3">
        <v>4</v>
      </c>
      <c r="G3" s="11" t="s">
        <v>116</v>
      </c>
      <c r="H3" s="11">
        <v>1</v>
      </c>
      <c r="I3" s="12" t="s">
        <v>127</v>
      </c>
    </row>
    <row r="4" spans="2:9" ht="19.2" customHeight="1" x14ac:dyDescent="0.3">
      <c r="B4">
        <v>9</v>
      </c>
      <c r="C4">
        <v>9</v>
      </c>
      <c r="D4">
        <v>9</v>
      </c>
      <c r="G4" s="11" t="s">
        <v>164</v>
      </c>
      <c r="H4" s="11">
        <v>5</v>
      </c>
      <c r="I4" s="22" t="s">
        <v>166</v>
      </c>
    </row>
    <row r="5" spans="2:9" ht="15.6" x14ac:dyDescent="0.3">
      <c r="B5">
        <v>9</v>
      </c>
      <c r="C5">
        <v>9</v>
      </c>
      <c r="D5">
        <v>9</v>
      </c>
      <c r="G5" s="11"/>
      <c r="H5" s="11"/>
      <c r="I5" s="13"/>
    </row>
    <row r="6" spans="2:9" ht="15.6" x14ac:dyDescent="0.3">
      <c r="B6">
        <v>10</v>
      </c>
      <c r="C6">
        <v>10</v>
      </c>
      <c r="D6">
        <v>10</v>
      </c>
      <c r="G6" s="11"/>
      <c r="H6" s="11"/>
      <c r="I6" s="11"/>
    </row>
    <row r="7" spans="2:9" ht="15.6" x14ac:dyDescent="0.3">
      <c r="B7">
        <v>11</v>
      </c>
      <c r="C7">
        <v>11</v>
      </c>
      <c r="D7">
        <v>11</v>
      </c>
      <c r="G7" s="11"/>
      <c r="H7" s="11"/>
      <c r="I7" s="11"/>
    </row>
    <row r="8" spans="2:9" ht="15.6" x14ac:dyDescent="0.3">
      <c r="B8">
        <v>11</v>
      </c>
      <c r="C8">
        <v>11</v>
      </c>
      <c r="D8">
        <v>11</v>
      </c>
      <c r="G8" s="11"/>
      <c r="H8" s="11"/>
      <c r="I8" s="11"/>
    </row>
    <row r="9" spans="2:9" ht="15.6" x14ac:dyDescent="0.3">
      <c r="B9">
        <v>12</v>
      </c>
      <c r="C9">
        <v>12</v>
      </c>
      <c r="D9">
        <v>12</v>
      </c>
      <c r="G9" s="11"/>
      <c r="H9" s="11"/>
      <c r="I9" s="11" t="s">
        <v>75</v>
      </c>
    </row>
    <row r="10" spans="2:9" ht="15.6" x14ac:dyDescent="0.3">
      <c r="B10">
        <v>13</v>
      </c>
      <c r="C10">
        <v>13</v>
      </c>
      <c r="D10">
        <v>13</v>
      </c>
      <c r="G10" s="11" t="s">
        <v>140</v>
      </c>
      <c r="H10" s="11" t="s">
        <v>119</v>
      </c>
      <c r="I10" s="11">
        <f>+COUNT(D3:D5)</f>
        <v>3</v>
      </c>
    </row>
    <row r="11" spans="2:9" ht="15.6" x14ac:dyDescent="0.3">
      <c r="B11">
        <v>13</v>
      </c>
      <c r="C11">
        <v>13</v>
      </c>
      <c r="D11">
        <v>13</v>
      </c>
      <c r="G11" s="14" t="s">
        <v>141</v>
      </c>
      <c r="H11" s="11" t="s">
        <v>121</v>
      </c>
      <c r="I11" s="11">
        <f>+COUNT(D6:D16)</f>
        <v>11</v>
      </c>
    </row>
    <row r="12" spans="2:9" ht="15.6" x14ac:dyDescent="0.3">
      <c r="B12">
        <v>13</v>
      </c>
      <c r="C12">
        <v>13</v>
      </c>
      <c r="D12">
        <v>13</v>
      </c>
      <c r="G12" s="11" t="s">
        <v>142</v>
      </c>
      <c r="H12" s="11" t="s">
        <v>143</v>
      </c>
      <c r="I12" s="11">
        <f>+COUNT(D16:D40)</f>
        <v>25</v>
      </c>
    </row>
    <row r="13" spans="2:9" ht="15.6" x14ac:dyDescent="0.3">
      <c r="B13">
        <v>14</v>
      </c>
      <c r="C13">
        <v>14</v>
      </c>
      <c r="D13">
        <v>14</v>
      </c>
      <c r="G13" s="11"/>
      <c r="H13" s="11"/>
      <c r="I13" s="11"/>
    </row>
    <row r="14" spans="2:9" ht="15.6" x14ac:dyDescent="0.3">
      <c r="B14">
        <v>14</v>
      </c>
      <c r="C14">
        <v>14</v>
      </c>
      <c r="D14">
        <v>14</v>
      </c>
      <c r="I14" s="11"/>
    </row>
    <row r="15" spans="2:9" ht="15.6" x14ac:dyDescent="0.3">
      <c r="B15">
        <v>17</v>
      </c>
      <c r="C15">
        <v>17</v>
      </c>
      <c r="D15">
        <v>17</v>
      </c>
      <c r="I15" s="11"/>
    </row>
    <row r="16" spans="2:9" x14ac:dyDescent="0.3">
      <c r="B16">
        <v>18</v>
      </c>
      <c r="C16">
        <v>18</v>
      </c>
      <c r="D16">
        <v>18</v>
      </c>
    </row>
    <row r="17" spans="2:4" x14ac:dyDescent="0.3">
      <c r="B17">
        <v>18</v>
      </c>
      <c r="C17">
        <v>18</v>
      </c>
      <c r="D17">
        <v>18</v>
      </c>
    </row>
    <row r="18" spans="2:4" x14ac:dyDescent="0.3">
      <c r="B18">
        <v>19</v>
      </c>
      <c r="C18">
        <v>19</v>
      </c>
      <c r="D18">
        <v>19</v>
      </c>
    </row>
    <row r="19" spans="2:4" x14ac:dyDescent="0.3">
      <c r="B19">
        <v>20</v>
      </c>
      <c r="C19">
        <v>20</v>
      </c>
      <c r="D19">
        <v>20</v>
      </c>
    </row>
    <row r="20" spans="2:4" x14ac:dyDescent="0.3">
      <c r="B20">
        <v>20</v>
      </c>
      <c r="C20">
        <v>20</v>
      </c>
      <c r="D20">
        <v>20</v>
      </c>
    </row>
    <row r="21" spans="2:4" x14ac:dyDescent="0.3">
      <c r="B21">
        <v>20</v>
      </c>
      <c r="C21">
        <v>20</v>
      </c>
      <c r="D21">
        <v>20</v>
      </c>
    </row>
    <row r="22" spans="2:4" x14ac:dyDescent="0.3">
      <c r="B22">
        <v>20</v>
      </c>
      <c r="C22">
        <v>20</v>
      </c>
      <c r="D22">
        <v>20</v>
      </c>
    </row>
    <row r="23" spans="2:4" x14ac:dyDescent="0.3">
      <c r="B23">
        <v>20</v>
      </c>
      <c r="C23">
        <v>20</v>
      </c>
      <c r="D23">
        <v>20</v>
      </c>
    </row>
    <row r="24" spans="2:4" x14ac:dyDescent="0.3">
      <c r="B24">
        <v>22</v>
      </c>
      <c r="C24">
        <v>22</v>
      </c>
      <c r="D24">
        <v>22</v>
      </c>
    </row>
    <row r="25" spans="2:4" x14ac:dyDescent="0.3">
      <c r="B25">
        <v>24</v>
      </c>
      <c r="C25">
        <v>24</v>
      </c>
      <c r="D25">
        <v>24</v>
      </c>
    </row>
    <row r="26" spans="2:4" x14ac:dyDescent="0.3">
      <c r="B26">
        <v>25</v>
      </c>
      <c r="C26">
        <v>25</v>
      </c>
      <c r="D26">
        <v>25</v>
      </c>
    </row>
    <row r="27" spans="2:4" x14ac:dyDescent="0.3">
      <c r="B27">
        <v>27</v>
      </c>
      <c r="C27">
        <v>27</v>
      </c>
      <c r="D27">
        <v>27</v>
      </c>
    </row>
    <row r="28" spans="2:4" x14ac:dyDescent="0.3">
      <c r="B28">
        <v>27</v>
      </c>
      <c r="C28">
        <v>27</v>
      </c>
      <c r="D28">
        <v>27</v>
      </c>
    </row>
    <row r="29" spans="2:4" x14ac:dyDescent="0.3">
      <c r="B29">
        <v>28</v>
      </c>
      <c r="C29">
        <v>28</v>
      </c>
      <c r="D29">
        <v>28</v>
      </c>
    </row>
    <row r="30" spans="2:4" x14ac:dyDescent="0.3">
      <c r="B30">
        <v>28</v>
      </c>
      <c r="C30">
        <v>28</v>
      </c>
      <c r="D30">
        <v>28</v>
      </c>
    </row>
    <row r="31" spans="2:4" x14ac:dyDescent="0.3">
      <c r="B31">
        <v>29</v>
      </c>
      <c r="C31">
        <v>29</v>
      </c>
      <c r="D31">
        <v>29</v>
      </c>
    </row>
    <row r="32" spans="2:4" x14ac:dyDescent="0.3">
      <c r="B32">
        <v>29</v>
      </c>
      <c r="C32">
        <v>29</v>
      </c>
      <c r="D32">
        <v>29</v>
      </c>
    </row>
    <row r="33" spans="2:4" x14ac:dyDescent="0.3">
      <c r="B33">
        <v>29</v>
      </c>
      <c r="C33">
        <v>29</v>
      </c>
      <c r="D33">
        <v>29</v>
      </c>
    </row>
    <row r="34" spans="2:4" x14ac:dyDescent="0.3">
      <c r="B34">
        <v>30</v>
      </c>
      <c r="C34">
        <v>30</v>
      </c>
      <c r="D34">
        <v>30</v>
      </c>
    </row>
    <row r="35" spans="2:4" x14ac:dyDescent="0.3">
      <c r="B35">
        <v>31</v>
      </c>
      <c r="C35">
        <v>31</v>
      </c>
      <c r="D35">
        <v>31</v>
      </c>
    </row>
    <row r="36" spans="2:4" x14ac:dyDescent="0.3">
      <c r="B36">
        <v>31</v>
      </c>
      <c r="C36">
        <v>31</v>
      </c>
      <c r="D36">
        <v>31</v>
      </c>
    </row>
    <row r="37" spans="2:4" x14ac:dyDescent="0.3">
      <c r="B37">
        <v>32</v>
      </c>
      <c r="C37">
        <v>32</v>
      </c>
      <c r="D37">
        <v>32</v>
      </c>
    </row>
    <row r="38" spans="2:4" x14ac:dyDescent="0.3">
      <c r="B38">
        <v>32</v>
      </c>
      <c r="C38">
        <v>32</v>
      </c>
      <c r="D38">
        <v>32</v>
      </c>
    </row>
    <row r="39" spans="2:4" x14ac:dyDescent="0.3">
      <c r="B39">
        <v>32</v>
      </c>
      <c r="C39">
        <v>32</v>
      </c>
      <c r="D39">
        <v>32</v>
      </c>
    </row>
    <row r="40" spans="2:4" x14ac:dyDescent="0.3">
      <c r="B40">
        <v>33</v>
      </c>
      <c r="C40">
        <v>33</v>
      </c>
      <c r="D40">
        <v>33</v>
      </c>
    </row>
    <row r="41" spans="2:4" x14ac:dyDescent="0.3">
      <c r="B41">
        <v>34</v>
      </c>
      <c r="C41">
        <v>34</v>
      </c>
      <c r="D41">
        <v>34</v>
      </c>
    </row>
    <row r="42" spans="2:4" x14ac:dyDescent="0.3">
      <c r="B42">
        <v>34</v>
      </c>
      <c r="C42">
        <v>34</v>
      </c>
      <c r="D42">
        <v>34</v>
      </c>
    </row>
    <row r="43" spans="2:4" x14ac:dyDescent="0.3">
      <c r="B43">
        <v>34</v>
      </c>
      <c r="C43">
        <v>34</v>
      </c>
      <c r="D43">
        <v>34</v>
      </c>
    </row>
    <row r="44" spans="2:4" x14ac:dyDescent="0.3">
      <c r="B44">
        <v>35</v>
      </c>
      <c r="C44">
        <v>35</v>
      </c>
      <c r="D44">
        <v>35</v>
      </c>
    </row>
    <row r="45" spans="2:4" x14ac:dyDescent="0.3">
      <c r="B45">
        <v>36</v>
      </c>
      <c r="C45">
        <v>36</v>
      </c>
      <c r="D45">
        <v>36</v>
      </c>
    </row>
    <row r="46" spans="2:4" x14ac:dyDescent="0.3">
      <c r="B46">
        <v>36</v>
      </c>
      <c r="C46">
        <v>36</v>
      </c>
      <c r="D46">
        <v>36</v>
      </c>
    </row>
    <row r="47" spans="2:4" x14ac:dyDescent="0.3">
      <c r="B47">
        <v>37</v>
      </c>
      <c r="C47">
        <v>37</v>
      </c>
      <c r="D47">
        <v>37</v>
      </c>
    </row>
    <row r="48" spans="2:4" x14ac:dyDescent="0.3">
      <c r="B48">
        <v>37</v>
      </c>
      <c r="C48">
        <v>37</v>
      </c>
      <c r="D48">
        <v>37</v>
      </c>
    </row>
    <row r="49" spans="2:4" x14ac:dyDescent="0.3">
      <c r="B49">
        <v>38</v>
      </c>
      <c r="C49">
        <v>38</v>
      </c>
      <c r="D49">
        <v>38</v>
      </c>
    </row>
    <row r="50" spans="2:4" x14ac:dyDescent="0.3">
      <c r="B50">
        <v>38</v>
      </c>
      <c r="C50">
        <v>38</v>
      </c>
      <c r="D50">
        <v>38</v>
      </c>
    </row>
    <row r="51" spans="2:4" x14ac:dyDescent="0.3">
      <c r="B51">
        <v>39</v>
      </c>
      <c r="C51">
        <v>39</v>
      </c>
      <c r="D51">
        <v>39</v>
      </c>
    </row>
    <row r="52" spans="2:4" x14ac:dyDescent="0.3">
      <c r="B52">
        <v>39</v>
      </c>
      <c r="C52">
        <v>39</v>
      </c>
      <c r="D52">
        <v>39</v>
      </c>
    </row>
    <row r="53" spans="2:4" x14ac:dyDescent="0.3">
      <c r="B53">
        <v>40</v>
      </c>
      <c r="C53">
        <v>40</v>
      </c>
      <c r="D53">
        <v>40</v>
      </c>
    </row>
    <row r="54" spans="2:4" x14ac:dyDescent="0.3">
      <c r="B54">
        <v>40</v>
      </c>
      <c r="C54">
        <v>40</v>
      </c>
      <c r="D54">
        <v>40</v>
      </c>
    </row>
    <row r="55" spans="2:4" x14ac:dyDescent="0.3">
      <c r="B55">
        <v>41</v>
      </c>
      <c r="C55">
        <v>41</v>
      </c>
      <c r="D55">
        <v>41</v>
      </c>
    </row>
    <row r="56" spans="2:4" x14ac:dyDescent="0.3">
      <c r="B56">
        <v>41</v>
      </c>
      <c r="C56">
        <v>41</v>
      </c>
      <c r="D56">
        <v>41</v>
      </c>
    </row>
    <row r="57" spans="2:4" x14ac:dyDescent="0.3">
      <c r="B57">
        <v>42</v>
      </c>
      <c r="C57">
        <v>42</v>
      </c>
      <c r="D57">
        <v>42</v>
      </c>
    </row>
    <row r="58" spans="2:4" x14ac:dyDescent="0.3">
      <c r="B58">
        <v>42</v>
      </c>
      <c r="C58">
        <v>42</v>
      </c>
      <c r="D58">
        <v>42</v>
      </c>
    </row>
    <row r="59" spans="2:4" x14ac:dyDescent="0.3">
      <c r="B59">
        <v>43</v>
      </c>
      <c r="C59">
        <v>43</v>
      </c>
      <c r="D59">
        <v>43</v>
      </c>
    </row>
    <row r="60" spans="2:4" x14ac:dyDescent="0.3">
      <c r="B60">
        <v>43</v>
      </c>
      <c r="C60">
        <v>43</v>
      </c>
      <c r="D60">
        <v>43</v>
      </c>
    </row>
    <row r="61" spans="2:4" x14ac:dyDescent="0.3">
      <c r="B61">
        <v>44</v>
      </c>
      <c r="C61">
        <v>44</v>
      </c>
      <c r="D61">
        <v>44</v>
      </c>
    </row>
    <row r="62" spans="2:4" x14ac:dyDescent="0.3">
      <c r="B62">
        <v>44</v>
      </c>
      <c r="C62">
        <v>44</v>
      </c>
      <c r="D62">
        <v>44</v>
      </c>
    </row>
    <row r="63" spans="2:4" x14ac:dyDescent="0.3">
      <c r="B63">
        <v>44</v>
      </c>
      <c r="C63">
        <v>44</v>
      </c>
      <c r="D63">
        <v>44</v>
      </c>
    </row>
    <row r="64" spans="2:4" x14ac:dyDescent="0.3">
      <c r="B64">
        <v>46</v>
      </c>
      <c r="C64">
        <v>46</v>
      </c>
      <c r="D64">
        <v>46</v>
      </c>
    </row>
    <row r="65" spans="2:4" x14ac:dyDescent="0.3">
      <c r="B65">
        <v>48</v>
      </c>
      <c r="C65">
        <v>48</v>
      </c>
      <c r="D65">
        <v>48</v>
      </c>
    </row>
    <row r="66" spans="2:4" x14ac:dyDescent="0.3">
      <c r="B66">
        <v>49</v>
      </c>
      <c r="C66">
        <v>49</v>
      </c>
      <c r="D66">
        <v>49</v>
      </c>
    </row>
    <row r="67" spans="2:4" x14ac:dyDescent="0.3">
      <c r="B67">
        <v>49</v>
      </c>
      <c r="C67">
        <v>49</v>
      </c>
      <c r="D67">
        <v>49</v>
      </c>
    </row>
    <row r="68" spans="2:4" x14ac:dyDescent="0.3">
      <c r="B68">
        <v>50</v>
      </c>
      <c r="C68">
        <v>50</v>
      </c>
      <c r="D68">
        <v>50</v>
      </c>
    </row>
    <row r="69" spans="2:4" x14ac:dyDescent="0.3">
      <c r="B69">
        <v>50</v>
      </c>
      <c r="C69">
        <v>50</v>
      </c>
      <c r="D69">
        <v>50</v>
      </c>
    </row>
    <row r="70" spans="2:4" x14ac:dyDescent="0.3">
      <c r="B70">
        <v>50</v>
      </c>
      <c r="C70">
        <v>50</v>
      </c>
      <c r="D70">
        <v>50</v>
      </c>
    </row>
    <row r="71" spans="2:4" x14ac:dyDescent="0.3">
      <c r="B71">
        <v>51</v>
      </c>
      <c r="C71">
        <v>51</v>
      </c>
      <c r="D71">
        <v>51</v>
      </c>
    </row>
    <row r="72" spans="2:4" x14ac:dyDescent="0.3">
      <c r="B72">
        <v>51</v>
      </c>
      <c r="C72">
        <v>51</v>
      </c>
      <c r="D72">
        <v>51</v>
      </c>
    </row>
    <row r="73" spans="2:4" x14ac:dyDescent="0.3">
      <c r="B73">
        <v>51</v>
      </c>
      <c r="C73">
        <v>51</v>
      </c>
      <c r="D73">
        <v>51</v>
      </c>
    </row>
    <row r="74" spans="2:4" x14ac:dyDescent="0.3">
      <c r="B74">
        <v>52</v>
      </c>
      <c r="C74">
        <v>52</v>
      </c>
      <c r="D74">
        <v>52</v>
      </c>
    </row>
    <row r="75" spans="2:4" x14ac:dyDescent="0.3">
      <c r="B75">
        <v>52</v>
      </c>
      <c r="C75">
        <v>52</v>
      </c>
      <c r="D75">
        <v>52</v>
      </c>
    </row>
    <row r="76" spans="2:4" x14ac:dyDescent="0.3">
      <c r="B76">
        <v>52</v>
      </c>
      <c r="C76">
        <v>52</v>
      </c>
      <c r="D76">
        <v>52</v>
      </c>
    </row>
    <row r="77" spans="2:4" x14ac:dyDescent="0.3">
      <c r="B77">
        <v>52</v>
      </c>
      <c r="C77">
        <v>52</v>
      </c>
      <c r="D77">
        <v>52</v>
      </c>
    </row>
    <row r="78" spans="2:4" x14ac:dyDescent="0.3">
      <c r="B78">
        <v>53</v>
      </c>
      <c r="C78">
        <v>53</v>
      </c>
      <c r="D78">
        <v>53</v>
      </c>
    </row>
    <row r="79" spans="2:4" x14ac:dyDescent="0.3">
      <c r="B79">
        <v>53</v>
      </c>
      <c r="C79">
        <v>53</v>
      </c>
      <c r="D79">
        <v>53</v>
      </c>
    </row>
    <row r="80" spans="2:4" x14ac:dyDescent="0.3">
      <c r="B80">
        <v>54</v>
      </c>
      <c r="C80">
        <v>54</v>
      </c>
      <c r="D80">
        <v>54</v>
      </c>
    </row>
    <row r="81" spans="2:4" x14ac:dyDescent="0.3">
      <c r="B81">
        <v>54</v>
      </c>
      <c r="C81">
        <v>54</v>
      </c>
      <c r="D81">
        <v>54</v>
      </c>
    </row>
    <row r="82" spans="2:4" x14ac:dyDescent="0.3">
      <c r="B82">
        <v>57</v>
      </c>
      <c r="C82">
        <v>57</v>
      </c>
      <c r="D82">
        <v>57</v>
      </c>
    </row>
    <row r="83" spans="2:4" x14ac:dyDescent="0.3">
      <c r="B83">
        <v>57</v>
      </c>
      <c r="C83">
        <v>57</v>
      </c>
      <c r="D83">
        <v>57</v>
      </c>
    </row>
    <row r="84" spans="2:4" x14ac:dyDescent="0.3">
      <c r="B84">
        <v>57</v>
      </c>
      <c r="C84">
        <v>57</v>
      </c>
      <c r="D84">
        <v>57</v>
      </c>
    </row>
    <row r="85" spans="2:4" x14ac:dyDescent="0.3">
      <c r="B85">
        <v>57</v>
      </c>
      <c r="C85">
        <v>57</v>
      </c>
      <c r="D85">
        <v>57</v>
      </c>
    </row>
    <row r="86" spans="2:4" x14ac:dyDescent="0.3">
      <c r="B86">
        <v>58</v>
      </c>
      <c r="C86">
        <v>58</v>
      </c>
      <c r="D86">
        <v>58</v>
      </c>
    </row>
    <row r="87" spans="2:4" x14ac:dyDescent="0.3">
      <c r="B87">
        <v>58</v>
      </c>
      <c r="C87">
        <v>58</v>
      </c>
      <c r="D87">
        <v>58</v>
      </c>
    </row>
    <row r="88" spans="2:4" x14ac:dyDescent="0.3">
      <c r="B88">
        <v>58</v>
      </c>
      <c r="C88">
        <v>58</v>
      </c>
      <c r="D88">
        <v>58</v>
      </c>
    </row>
    <row r="89" spans="2:4" x14ac:dyDescent="0.3">
      <c r="B89">
        <v>58</v>
      </c>
      <c r="C89">
        <v>58</v>
      </c>
      <c r="D89">
        <v>58</v>
      </c>
    </row>
    <row r="90" spans="2:4" x14ac:dyDescent="0.3">
      <c r="B90">
        <v>58</v>
      </c>
      <c r="C90">
        <v>58</v>
      </c>
      <c r="D90">
        <v>58</v>
      </c>
    </row>
    <row r="91" spans="2:4" x14ac:dyDescent="0.3">
      <c r="B91">
        <v>58</v>
      </c>
      <c r="C91">
        <v>58</v>
      </c>
      <c r="D91">
        <v>58</v>
      </c>
    </row>
    <row r="92" spans="2:4" x14ac:dyDescent="0.3">
      <c r="B92">
        <v>59</v>
      </c>
      <c r="C92">
        <v>59</v>
      </c>
      <c r="D92">
        <v>59</v>
      </c>
    </row>
    <row r="93" spans="2:4" x14ac:dyDescent="0.3">
      <c r="B93">
        <v>60</v>
      </c>
      <c r="C93">
        <v>60</v>
      </c>
      <c r="D93">
        <v>60</v>
      </c>
    </row>
    <row r="94" spans="2:4" x14ac:dyDescent="0.3">
      <c r="B94">
        <v>62</v>
      </c>
      <c r="C94">
        <v>62</v>
      </c>
      <c r="D94">
        <v>62</v>
      </c>
    </row>
    <row r="95" spans="2:4" x14ac:dyDescent="0.3">
      <c r="B95">
        <v>63</v>
      </c>
      <c r="C95">
        <v>63</v>
      </c>
      <c r="D95">
        <v>63</v>
      </c>
    </row>
    <row r="96" spans="2:4" x14ac:dyDescent="0.3">
      <c r="B96">
        <v>63</v>
      </c>
      <c r="C96">
        <v>63</v>
      </c>
      <c r="D96">
        <v>63</v>
      </c>
    </row>
    <row r="97" spans="2:4" x14ac:dyDescent="0.3">
      <c r="B97">
        <v>64</v>
      </c>
      <c r="C97">
        <v>64</v>
      </c>
      <c r="D97">
        <v>64</v>
      </c>
    </row>
    <row r="98" spans="2:4" x14ac:dyDescent="0.3">
      <c r="B98">
        <v>65</v>
      </c>
      <c r="C98">
        <v>65</v>
      </c>
      <c r="D98">
        <v>65</v>
      </c>
    </row>
    <row r="99" spans="2:4" x14ac:dyDescent="0.3">
      <c r="B99">
        <v>65</v>
      </c>
      <c r="C99">
        <v>65</v>
      </c>
      <c r="D99">
        <v>65</v>
      </c>
    </row>
    <row r="100" spans="2:4" x14ac:dyDescent="0.3">
      <c r="B100">
        <v>65</v>
      </c>
      <c r="C100">
        <v>65</v>
      </c>
      <c r="D100">
        <v>65</v>
      </c>
    </row>
    <row r="101" spans="2:4" x14ac:dyDescent="0.3">
      <c r="B101">
        <v>67</v>
      </c>
      <c r="C101">
        <v>67</v>
      </c>
      <c r="D101">
        <v>67</v>
      </c>
    </row>
    <row r="102" spans="2:4" x14ac:dyDescent="0.3">
      <c r="B102">
        <v>67</v>
      </c>
      <c r="C102">
        <v>67</v>
      </c>
      <c r="D102">
        <v>67</v>
      </c>
    </row>
    <row r="103" spans="2:4" x14ac:dyDescent="0.3">
      <c r="B103">
        <v>67</v>
      </c>
      <c r="C103">
        <v>67</v>
      </c>
      <c r="D103">
        <v>67</v>
      </c>
    </row>
    <row r="104" spans="2:4" x14ac:dyDescent="0.3">
      <c r="B104">
        <v>68</v>
      </c>
      <c r="C104">
        <v>68</v>
      </c>
      <c r="D104">
        <v>68</v>
      </c>
    </row>
    <row r="105" spans="2:4" x14ac:dyDescent="0.3">
      <c r="B105">
        <v>68</v>
      </c>
      <c r="C105">
        <v>68</v>
      </c>
      <c r="D105">
        <v>68</v>
      </c>
    </row>
    <row r="106" spans="2:4" x14ac:dyDescent="0.3">
      <c r="B106">
        <v>72</v>
      </c>
      <c r="C106">
        <v>72</v>
      </c>
      <c r="D106">
        <v>72</v>
      </c>
    </row>
    <row r="107" spans="2:4" x14ac:dyDescent="0.3">
      <c r="B107">
        <v>73</v>
      </c>
      <c r="C107">
        <v>73</v>
      </c>
      <c r="D107">
        <v>73</v>
      </c>
    </row>
    <row r="108" spans="2:4" x14ac:dyDescent="0.3">
      <c r="B108">
        <v>73</v>
      </c>
      <c r="C108">
        <v>73</v>
      </c>
      <c r="D108">
        <v>73</v>
      </c>
    </row>
    <row r="109" spans="2:4" x14ac:dyDescent="0.3">
      <c r="B109">
        <v>73</v>
      </c>
      <c r="C109">
        <v>73</v>
      </c>
      <c r="D109">
        <v>73</v>
      </c>
    </row>
    <row r="110" spans="2:4" x14ac:dyDescent="0.3">
      <c r="B110">
        <v>74</v>
      </c>
      <c r="C110">
        <v>74</v>
      </c>
      <c r="D110">
        <v>74</v>
      </c>
    </row>
    <row r="111" spans="2:4" x14ac:dyDescent="0.3">
      <c r="B111">
        <v>74</v>
      </c>
      <c r="C111">
        <v>74</v>
      </c>
      <c r="D111">
        <v>74</v>
      </c>
    </row>
    <row r="112" spans="2:4" x14ac:dyDescent="0.3">
      <c r="B112">
        <v>74</v>
      </c>
      <c r="C112">
        <v>74</v>
      </c>
      <c r="D112">
        <v>74</v>
      </c>
    </row>
    <row r="113" spans="2:4" x14ac:dyDescent="0.3">
      <c r="B113">
        <v>74</v>
      </c>
      <c r="C113">
        <v>74</v>
      </c>
      <c r="D113">
        <v>74</v>
      </c>
    </row>
    <row r="114" spans="2:4" x14ac:dyDescent="0.3">
      <c r="B114">
        <v>75</v>
      </c>
      <c r="C114">
        <v>75</v>
      </c>
      <c r="D114">
        <v>75</v>
      </c>
    </row>
    <row r="115" spans="2:4" x14ac:dyDescent="0.3">
      <c r="B115">
        <v>75</v>
      </c>
      <c r="C115">
        <v>75</v>
      </c>
      <c r="D115">
        <v>75</v>
      </c>
    </row>
    <row r="116" spans="2:4" x14ac:dyDescent="0.3">
      <c r="B116">
        <v>75</v>
      </c>
      <c r="C116">
        <v>75</v>
      </c>
      <c r="D116">
        <v>75</v>
      </c>
    </row>
    <row r="117" spans="2:4" x14ac:dyDescent="0.3">
      <c r="B117">
        <v>75</v>
      </c>
      <c r="C117">
        <v>75</v>
      </c>
      <c r="D117">
        <v>75</v>
      </c>
    </row>
    <row r="118" spans="2:4" x14ac:dyDescent="0.3">
      <c r="B118">
        <v>76</v>
      </c>
      <c r="C118">
        <v>76</v>
      </c>
      <c r="D118">
        <v>76</v>
      </c>
    </row>
    <row r="119" spans="2:4" x14ac:dyDescent="0.3">
      <c r="B119">
        <v>77</v>
      </c>
      <c r="C119">
        <v>77</v>
      </c>
      <c r="D119">
        <v>77</v>
      </c>
    </row>
    <row r="120" spans="2:4" x14ac:dyDescent="0.3">
      <c r="B120">
        <v>77</v>
      </c>
      <c r="C120">
        <v>77</v>
      </c>
      <c r="D120">
        <v>77</v>
      </c>
    </row>
    <row r="121" spans="2:4" x14ac:dyDescent="0.3">
      <c r="B121">
        <v>77</v>
      </c>
      <c r="C121">
        <v>77</v>
      </c>
      <c r="D121">
        <v>77</v>
      </c>
    </row>
    <row r="122" spans="2:4" x14ac:dyDescent="0.3">
      <c r="B122">
        <v>79</v>
      </c>
      <c r="C122">
        <v>79</v>
      </c>
      <c r="D122">
        <v>79</v>
      </c>
    </row>
    <row r="123" spans="2:4" x14ac:dyDescent="0.3">
      <c r="B123">
        <v>79</v>
      </c>
      <c r="C123">
        <v>79</v>
      </c>
      <c r="D123">
        <v>79</v>
      </c>
    </row>
    <row r="124" spans="2:4" x14ac:dyDescent="0.3">
      <c r="B124">
        <v>79</v>
      </c>
      <c r="C124">
        <v>79</v>
      </c>
      <c r="D124">
        <v>79</v>
      </c>
    </row>
    <row r="125" spans="2:4" x14ac:dyDescent="0.3">
      <c r="B125">
        <v>80</v>
      </c>
      <c r="C125">
        <v>80</v>
      </c>
      <c r="D125">
        <v>80</v>
      </c>
    </row>
    <row r="126" spans="2:4" x14ac:dyDescent="0.3">
      <c r="B126">
        <v>80</v>
      </c>
      <c r="C126">
        <v>80</v>
      </c>
      <c r="D126">
        <v>80</v>
      </c>
    </row>
    <row r="127" spans="2:4" x14ac:dyDescent="0.3">
      <c r="B127">
        <v>81</v>
      </c>
      <c r="C127">
        <v>81</v>
      </c>
      <c r="D127">
        <v>81</v>
      </c>
    </row>
    <row r="128" spans="2:4" x14ac:dyDescent="0.3">
      <c r="B128">
        <v>81</v>
      </c>
      <c r="C128">
        <v>81</v>
      </c>
      <c r="D128">
        <v>81</v>
      </c>
    </row>
    <row r="129" spans="2:4" x14ac:dyDescent="0.3">
      <c r="B129">
        <v>82</v>
      </c>
      <c r="C129">
        <v>82</v>
      </c>
      <c r="D129">
        <v>82</v>
      </c>
    </row>
    <row r="130" spans="2:4" x14ac:dyDescent="0.3">
      <c r="B130">
        <v>82</v>
      </c>
      <c r="C130">
        <v>82</v>
      </c>
      <c r="D130">
        <v>82</v>
      </c>
    </row>
    <row r="131" spans="2:4" x14ac:dyDescent="0.3">
      <c r="B131">
        <v>84</v>
      </c>
      <c r="C131">
        <v>84</v>
      </c>
      <c r="D131">
        <v>84</v>
      </c>
    </row>
    <row r="132" spans="2:4" x14ac:dyDescent="0.3">
      <c r="B132">
        <v>84</v>
      </c>
      <c r="C132">
        <v>84</v>
      </c>
      <c r="D132">
        <v>84</v>
      </c>
    </row>
    <row r="133" spans="2:4" x14ac:dyDescent="0.3">
      <c r="B133">
        <v>86</v>
      </c>
      <c r="C133">
        <v>86</v>
      </c>
      <c r="D133">
        <v>86</v>
      </c>
    </row>
    <row r="134" spans="2:4" x14ac:dyDescent="0.3">
      <c r="B134">
        <v>88</v>
      </c>
      <c r="C134">
        <v>88</v>
      </c>
      <c r="D134">
        <v>88</v>
      </c>
    </row>
    <row r="135" spans="2:4" x14ac:dyDescent="0.3">
      <c r="B135">
        <v>89</v>
      </c>
      <c r="C135">
        <v>89</v>
      </c>
      <c r="D135">
        <v>89</v>
      </c>
    </row>
    <row r="136" spans="2:4" x14ac:dyDescent="0.3">
      <c r="B136">
        <v>91</v>
      </c>
      <c r="C136">
        <v>91</v>
      </c>
      <c r="D136">
        <v>91</v>
      </c>
    </row>
    <row r="137" spans="2:4" x14ac:dyDescent="0.3">
      <c r="B137">
        <v>94</v>
      </c>
      <c r="C137">
        <v>94</v>
      </c>
      <c r="D137">
        <v>94</v>
      </c>
    </row>
    <row r="138" spans="2:4" x14ac:dyDescent="0.3">
      <c r="B138">
        <v>94</v>
      </c>
      <c r="C138">
        <v>94</v>
      </c>
      <c r="D138">
        <v>94</v>
      </c>
    </row>
    <row r="139" spans="2:4" x14ac:dyDescent="0.3">
      <c r="B139">
        <v>94</v>
      </c>
      <c r="C139">
        <v>94</v>
      </c>
      <c r="D139">
        <v>94</v>
      </c>
    </row>
    <row r="140" spans="2:4" x14ac:dyDescent="0.3">
      <c r="B140">
        <v>95</v>
      </c>
      <c r="C140">
        <v>95</v>
      </c>
      <c r="D140">
        <v>95</v>
      </c>
    </row>
    <row r="141" spans="2:4" x14ac:dyDescent="0.3">
      <c r="B141">
        <v>96</v>
      </c>
      <c r="C141">
        <v>96</v>
      </c>
      <c r="D141">
        <v>96</v>
      </c>
    </row>
    <row r="142" spans="2:4" x14ac:dyDescent="0.3">
      <c r="B142">
        <v>96</v>
      </c>
      <c r="C142">
        <v>96</v>
      </c>
      <c r="D142">
        <v>96</v>
      </c>
    </row>
    <row r="143" spans="2:4" x14ac:dyDescent="0.3">
      <c r="B143">
        <v>96</v>
      </c>
      <c r="C143">
        <v>96</v>
      </c>
      <c r="D143">
        <v>96</v>
      </c>
    </row>
    <row r="144" spans="2:4" x14ac:dyDescent="0.3">
      <c r="B144">
        <v>101</v>
      </c>
      <c r="C144">
        <v>101</v>
      </c>
      <c r="D144">
        <v>101</v>
      </c>
    </row>
    <row r="145" spans="2:4" x14ac:dyDescent="0.3">
      <c r="B145">
        <v>102</v>
      </c>
      <c r="C145">
        <v>102</v>
      </c>
      <c r="D145">
        <v>102</v>
      </c>
    </row>
    <row r="146" spans="2:4" x14ac:dyDescent="0.3">
      <c r="B146">
        <v>103</v>
      </c>
      <c r="C146">
        <v>103</v>
      </c>
      <c r="D146">
        <v>103</v>
      </c>
    </row>
    <row r="147" spans="2:4" x14ac:dyDescent="0.3">
      <c r="B147">
        <v>105</v>
      </c>
      <c r="C147">
        <v>105</v>
      </c>
      <c r="D147">
        <v>105</v>
      </c>
    </row>
    <row r="148" spans="2:4" x14ac:dyDescent="0.3">
      <c r="B148">
        <v>105</v>
      </c>
      <c r="C148">
        <v>105</v>
      </c>
      <c r="D148">
        <v>105</v>
      </c>
    </row>
    <row r="149" spans="2:4" x14ac:dyDescent="0.3">
      <c r="B149">
        <v>110</v>
      </c>
      <c r="C149">
        <v>110</v>
      </c>
      <c r="D149">
        <v>110</v>
      </c>
    </row>
    <row r="150" spans="2:4" x14ac:dyDescent="0.3">
      <c r="B150">
        <v>111</v>
      </c>
      <c r="C150">
        <v>111</v>
      </c>
      <c r="D150">
        <v>111</v>
      </c>
    </row>
    <row r="151" spans="2:4" x14ac:dyDescent="0.3">
      <c r="B151">
        <v>111</v>
      </c>
      <c r="C151">
        <v>111</v>
      </c>
      <c r="D151">
        <v>111</v>
      </c>
    </row>
    <row r="152" spans="2:4" x14ac:dyDescent="0.3">
      <c r="B152">
        <v>114</v>
      </c>
      <c r="C152">
        <v>114</v>
      </c>
      <c r="D152">
        <v>114</v>
      </c>
    </row>
    <row r="153" spans="2:4" x14ac:dyDescent="0.3">
      <c r="B153">
        <v>121</v>
      </c>
      <c r="C153">
        <v>121</v>
      </c>
      <c r="D153">
        <v>121</v>
      </c>
    </row>
    <row r="154" spans="2:4" x14ac:dyDescent="0.3">
      <c r="B154">
        <v>122</v>
      </c>
      <c r="C154">
        <v>122</v>
      </c>
      <c r="D154">
        <v>122</v>
      </c>
    </row>
    <row r="155" spans="2:4" x14ac:dyDescent="0.3">
      <c r="B155">
        <v>123</v>
      </c>
      <c r="C155">
        <v>123</v>
      </c>
      <c r="D155">
        <v>123</v>
      </c>
    </row>
    <row r="156" spans="2:4" x14ac:dyDescent="0.3">
      <c r="B156">
        <v>123</v>
      </c>
      <c r="C156">
        <v>123</v>
      </c>
      <c r="D156">
        <v>123</v>
      </c>
    </row>
    <row r="157" spans="2:4" x14ac:dyDescent="0.3">
      <c r="B157">
        <v>124</v>
      </c>
      <c r="C157">
        <v>124</v>
      </c>
      <c r="D157">
        <v>124</v>
      </c>
    </row>
    <row r="158" spans="2:4" x14ac:dyDescent="0.3">
      <c r="B158">
        <v>129</v>
      </c>
      <c r="C158">
        <v>129</v>
      </c>
      <c r="D158">
        <v>129</v>
      </c>
    </row>
    <row r="159" spans="2:4" x14ac:dyDescent="0.3">
      <c r="B159">
        <v>131</v>
      </c>
      <c r="C159">
        <v>131</v>
      </c>
      <c r="D159">
        <v>131</v>
      </c>
    </row>
    <row r="160" spans="2:4" x14ac:dyDescent="0.3">
      <c r="B160">
        <v>140</v>
      </c>
      <c r="C160">
        <v>140</v>
      </c>
      <c r="D160">
        <v>140</v>
      </c>
    </row>
    <row r="161" spans="2:4" x14ac:dyDescent="0.3">
      <c r="B161">
        <v>140</v>
      </c>
      <c r="C161">
        <v>140</v>
      </c>
      <c r="D161">
        <v>140</v>
      </c>
    </row>
    <row r="162" spans="2:4" x14ac:dyDescent="0.3">
      <c r="B162">
        <v>141</v>
      </c>
      <c r="C162">
        <v>141</v>
      </c>
      <c r="D162">
        <v>141</v>
      </c>
    </row>
    <row r="163" spans="2:4" x14ac:dyDescent="0.3">
      <c r="B163">
        <v>143</v>
      </c>
      <c r="C163">
        <v>143</v>
      </c>
      <c r="D163">
        <v>143</v>
      </c>
    </row>
    <row r="164" spans="2:4" x14ac:dyDescent="0.3">
      <c r="B164">
        <v>145</v>
      </c>
      <c r="C164">
        <v>145</v>
      </c>
      <c r="D164">
        <v>145</v>
      </c>
    </row>
    <row r="165" spans="2:4" x14ac:dyDescent="0.3">
      <c r="B165">
        <v>148</v>
      </c>
      <c r="C165">
        <v>148</v>
      </c>
      <c r="D165">
        <v>148</v>
      </c>
    </row>
    <row r="166" spans="2:4" x14ac:dyDescent="0.3">
      <c r="B166">
        <v>150</v>
      </c>
      <c r="C166">
        <v>150</v>
      </c>
      <c r="D166">
        <v>150</v>
      </c>
    </row>
    <row r="167" spans="2:4" x14ac:dyDescent="0.3">
      <c r="B167">
        <v>152</v>
      </c>
      <c r="C167">
        <v>152</v>
      </c>
      <c r="D167">
        <v>152</v>
      </c>
    </row>
    <row r="168" spans="2:4" x14ac:dyDescent="0.3">
      <c r="B168">
        <v>152</v>
      </c>
      <c r="C168">
        <v>152</v>
      </c>
      <c r="D168">
        <v>152</v>
      </c>
    </row>
    <row r="169" spans="2:4" x14ac:dyDescent="0.3">
      <c r="B169">
        <v>154</v>
      </c>
      <c r="C169">
        <v>154</v>
      </c>
      <c r="D169">
        <v>154</v>
      </c>
    </row>
    <row r="170" spans="2:4" x14ac:dyDescent="0.3">
      <c r="B170">
        <v>156</v>
      </c>
      <c r="C170">
        <v>156</v>
      </c>
      <c r="D170">
        <v>156</v>
      </c>
    </row>
    <row r="171" spans="2:4" x14ac:dyDescent="0.3">
      <c r="B171">
        <v>158</v>
      </c>
      <c r="C171">
        <v>158</v>
      </c>
      <c r="D171">
        <v>158</v>
      </c>
    </row>
    <row r="172" spans="2:4" x14ac:dyDescent="0.3">
      <c r="B172">
        <v>159</v>
      </c>
      <c r="C172">
        <v>159</v>
      </c>
      <c r="D172">
        <v>159</v>
      </c>
    </row>
    <row r="173" spans="2:4" x14ac:dyDescent="0.3">
      <c r="B173">
        <v>159</v>
      </c>
      <c r="C173">
        <v>159</v>
      </c>
      <c r="D173">
        <v>159</v>
      </c>
    </row>
    <row r="174" spans="2:4" x14ac:dyDescent="0.3">
      <c r="B174">
        <v>159</v>
      </c>
      <c r="C174">
        <v>159</v>
      </c>
      <c r="D174">
        <v>159</v>
      </c>
    </row>
    <row r="175" spans="2:4" x14ac:dyDescent="0.3">
      <c r="B175">
        <v>161</v>
      </c>
      <c r="C175">
        <v>161</v>
      </c>
      <c r="D175">
        <v>161</v>
      </c>
    </row>
    <row r="176" spans="2:4" x14ac:dyDescent="0.3">
      <c r="B176">
        <v>161</v>
      </c>
      <c r="C176">
        <v>161</v>
      </c>
      <c r="D176">
        <v>161</v>
      </c>
    </row>
    <row r="177" spans="2:4" x14ac:dyDescent="0.3">
      <c r="B177">
        <v>161</v>
      </c>
      <c r="C177">
        <v>161</v>
      </c>
      <c r="D177">
        <v>161</v>
      </c>
    </row>
    <row r="178" spans="2:4" x14ac:dyDescent="0.3">
      <c r="B178">
        <v>172</v>
      </c>
      <c r="C178">
        <v>172</v>
      </c>
      <c r="D178">
        <v>172</v>
      </c>
    </row>
    <row r="179" spans="2:4" x14ac:dyDescent="0.3">
      <c r="B179">
        <v>172</v>
      </c>
      <c r="C179">
        <v>172</v>
      </c>
      <c r="D179">
        <v>172</v>
      </c>
    </row>
    <row r="180" spans="2:4" x14ac:dyDescent="0.3">
      <c r="B180">
        <v>173</v>
      </c>
      <c r="C180">
        <v>173</v>
      </c>
      <c r="D180">
        <v>173</v>
      </c>
    </row>
    <row r="181" spans="2:4" x14ac:dyDescent="0.3">
      <c r="B181">
        <v>178</v>
      </c>
      <c r="C181">
        <v>178</v>
      </c>
      <c r="D181">
        <v>178</v>
      </c>
    </row>
    <row r="182" spans="2:4" x14ac:dyDescent="0.3">
      <c r="B182">
        <v>182</v>
      </c>
      <c r="C182">
        <v>182</v>
      </c>
      <c r="D182">
        <v>182</v>
      </c>
    </row>
    <row r="183" spans="2:4" x14ac:dyDescent="0.3">
      <c r="B183">
        <v>199</v>
      </c>
      <c r="C183">
        <v>199</v>
      </c>
      <c r="D183">
        <v>199</v>
      </c>
    </row>
    <row r="184" spans="2:4" x14ac:dyDescent="0.3">
      <c r="B184">
        <v>200</v>
      </c>
      <c r="C184">
        <v>200</v>
      </c>
      <c r="D184">
        <v>200</v>
      </c>
    </row>
    <row r="185" spans="2:4" x14ac:dyDescent="0.3">
      <c r="B185">
        <v>201</v>
      </c>
      <c r="C185">
        <v>201</v>
      </c>
      <c r="D185">
        <v>201</v>
      </c>
    </row>
    <row r="186" spans="2:4" x14ac:dyDescent="0.3">
      <c r="B186">
        <v>205</v>
      </c>
      <c r="C186">
        <v>205</v>
      </c>
      <c r="D186">
        <v>205</v>
      </c>
    </row>
    <row r="187" spans="2:4" x14ac:dyDescent="0.3">
      <c r="B187">
        <v>207</v>
      </c>
      <c r="C187">
        <v>207</v>
      </c>
      <c r="D187">
        <v>207</v>
      </c>
    </row>
    <row r="188" spans="2:4" x14ac:dyDescent="0.3">
      <c r="B188">
        <v>208</v>
      </c>
      <c r="C188">
        <v>208</v>
      </c>
      <c r="D188">
        <v>208</v>
      </c>
    </row>
    <row r="189" spans="2:4" x14ac:dyDescent="0.3">
      <c r="B189">
        <v>209</v>
      </c>
      <c r="C189">
        <v>209</v>
      </c>
      <c r="D189">
        <v>209</v>
      </c>
    </row>
    <row r="190" spans="2:4" x14ac:dyDescent="0.3">
      <c r="B190">
        <v>210</v>
      </c>
      <c r="C190">
        <v>210</v>
      </c>
      <c r="D190">
        <v>210</v>
      </c>
    </row>
    <row r="191" spans="2:4" x14ac:dyDescent="0.3">
      <c r="B191">
        <v>217</v>
      </c>
      <c r="C191">
        <v>217</v>
      </c>
      <c r="D191">
        <v>217</v>
      </c>
    </row>
    <row r="192" spans="2:4" x14ac:dyDescent="0.3">
      <c r="B192">
        <v>219</v>
      </c>
      <c r="C192">
        <v>219</v>
      </c>
      <c r="D192">
        <v>219</v>
      </c>
    </row>
    <row r="193" spans="2:4" x14ac:dyDescent="0.3">
      <c r="B193">
        <v>221</v>
      </c>
      <c r="C193">
        <v>221</v>
      </c>
      <c r="D193">
        <v>221</v>
      </c>
    </row>
    <row r="194" spans="2:4" x14ac:dyDescent="0.3">
      <c r="B194">
        <v>225</v>
      </c>
      <c r="C194">
        <v>225</v>
      </c>
      <c r="D194">
        <v>225</v>
      </c>
    </row>
    <row r="195" spans="2:4" x14ac:dyDescent="0.3">
      <c r="B195">
        <v>227</v>
      </c>
      <c r="C195">
        <v>227</v>
      </c>
      <c r="D195">
        <v>227</v>
      </c>
    </row>
    <row r="196" spans="2:4" x14ac:dyDescent="0.3">
      <c r="B196">
        <v>231</v>
      </c>
      <c r="C196">
        <v>231</v>
      </c>
      <c r="D196">
        <v>231</v>
      </c>
    </row>
    <row r="197" spans="2:4" x14ac:dyDescent="0.3">
      <c r="B197">
        <v>243</v>
      </c>
      <c r="C197">
        <v>243</v>
      </c>
      <c r="D197">
        <v>243</v>
      </c>
    </row>
    <row r="198" spans="2:4" x14ac:dyDescent="0.3">
      <c r="B198">
        <v>247</v>
      </c>
      <c r="C198">
        <v>247</v>
      </c>
      <c r="D198">
        <v>247</v>
      </c>
    </row>
    <row r="199" spans="2:4" x14ac:dyDescent="0.3">
      <c r="B199">
        <v>251</v>
      </c>
      <c r="C199">
        <v>251</v>
      </c>
      <c r="D199">
        <v>251</v>
      </c>
    </row>
    <row r="200" spans="2:4" x14ac:dyDescent="0.3">
      <c r="B200">
        <v>262</v>
      </c>
      <c r="C200">
        <v>262</v>
      </c>
      <c r="D200">
        <v>262</v>
      </c>
    </row>
    <row r="201" spans="2:4" x14ac:dyDescent="0.3">
      <c r="B201">
        <v>262</v>
      </c>
      <c r="C201">
        <v>262</v>
      </c>
      <c r="D201">
        <v>262</v>
      </c>
    </row>
    <row r="202" spans="2:4" x14ac:dyDescent="0.3">
      <c r="B202">
        <v>269</v>
      </c>
      <c r="C202">
        <v>269</v>
      </c>
      <c r="D202">
        <v>269</v>
      </c>
    </row>
    <row r="203" spans="2:4" x14ac:dyDescent="0.3">
      <c r="B203">
        <v>280</v>
      </c>
      <c r="C203">
        <v>280</v>
      </c>
      <c r="D203">
        <v>280</v>
      </c>
    </row>
    <row r="204" spans="2:4" x14ac:dyDescent="0.3">
      <c r="B204">
        <v>281</v>
      </c>
      <c r="C204">
        <v>281</v>
      </c>
      <c r="D204">
        <v>281</v>
      </c>
    </row>
    <row r="205" spans="2:4" x14ac:dyDescent="0.3">
      <c r="B205">
        <v>290</v>
      </c>
      <c r="C205">
        <v>290</v>
      </c>
      <c r="D205">
        <v>290</v>
      </c>
    </row>
    <row r="206" spans="2:4" x14ac:dyDescent="0.3">
      <c r="B206" s="21">
        <v>358</v>
      </c>
      <c r="C206" s="21">
        <v>290</v>
      </c>
      <c r="D206" s="21">
        <v>290</v>
      </c>
    </row>
    <row r="207" spans="2:4" x14ac:dyDescent="0.3">
      <c r="B207" s="21">
        <v>444</v>
      </c>
      <c r="C207" s="21">
        <v>290</v>
      </c>
      <c r="D207" s="21">
        <v>290</v>
      </c>
    </row>
    <row r="208" spans="2:4" x14ac:dyDescent="0.3">
      <c r="B208" s="21">
        <v>464</v>
      </c>
      <c r="C208" s="21">
        <v>290</v>
      </c>
      <c r="D208" s="21">
        <v>290</v>
      </c>
    </row>
    <row r="209" spans="1:4" x14ac:dyDescent="0.3">
      <c r="B209" s="21">
        <v>558</v>
      </c>
      <c r="C209" s="21">
        <v>290</v>
      </c>
      <c r="D209" s="21">
        <v>290</v>
      </c>
    </row>
    <row r="210" spans="1:4" x14ac:dyDescent="0.3">
      <c r="B210" s="21">
        <v>588</v>
      </c>
      <c r="C210" s="21">
        <v>290</v>
      </c>
      <c r="D210" s="21">
        <v>290</v>
      </c>
    </row>
    <row r="211" spans="1:4" x14ac:dyDescent="0.3">
      <c r="B211" s="10" t="s">
        <v>33</v>
      </c>
      <c r="C211" s="10" t="s">
        <v>33</v>
      </c>
      <c r="D211" s="10">
        <v>94</v>
      </c>
    </row>
    <row r="214" spans="1:4" x14ac:dyDescent="0.3">
      <c r="A214" t="s">
        <v>47</v>
      </c>
      <c r="B214" s="3">
        <f>AVERAGE(B$3:B$211)</f>
        <v>98.182692307692307</v>
      </c>
      <c r="C214" s="3">
        <f>AVERAGE(C$3:C$211)</f>
        <v>93.557692307692307</v>
      </c>
      <c r="D214" s="3">
        <f>AVERAGE(D$3:D$211)</f>
        <v>93.559808612440193</v>
      </c>
    </row>
    <row r="216" spans="1:4" ht="15.6" x14ac:dyDescent="0.3">
      <c r="A216" t="s">
        <v>48</v>
      </c>
      <c r="B216" s="4">
        <f>STDEV(B$3:B$211)</f>
        <v>90.478680268086507</v>
      </c>
      <c r="C216" s="4">
        <f>STDEV(C$3:C$211)</f>
        <v>72.957975717091998</v>
      </c>
      <c r="D216" s="4">
        <f>STDEV(D$3:D$211)</f>
        <v>72.782391097087128</v>
      </c>
    </row>
    <row r="219" spans="1:4" x14ac:dyDescent="0.3">
      <c r="A219" t="s">
        <v>49</v>
      </c>
      <c r="B219">
        <f>MIN(B$3:B$211)</f>
        <v>4</v>
      </c>
      <c r="C219">
        <f>MIN(C$3:C$211)</f>
        <v>4</v>
      </c>
      <c r="D219">
        <f>MIN(D$3:D$211)</f>
        <v>4</v>
      </c>
    </row>
    <row r="221" spans="1:4" x14ac:dyDescent="0.3">
      <c r="A221" t="s">
        <v>50</v>
      </c>
      <c r="B221" s="3">
        <f>QUARTILE(B$3:B$211,1)</f>
        <v>40.75</v>
      </c>
      <c r="C221" s="3">
        <f>QUARTILE(C$3:C$211,1)</f>
        <v>40.75</v>
      </c>
      <c r="D221" s="3">
        <f>QUARTILE(D$3:D$211,1)</f>
        <v>41</v>
      </c>
    </row>
    <row r="223" spans="1:4" x14ac:dyDescent="0.3">
      <c r="A223" t="s">
        <v>51</v>
      </c>
      <c r="B223" s="3">
        <f>MEDIAN(B$3:B$211)</f>
        <v>72.5</v>
      </c>
      <c r="C223" s="3">
        <f>MEDIAN(C$3:C$211)</f>
        <v>72.5</v>
      </c>
      <c r="D223" s="3">
        <f>MEDIAN(D$3:D$211)</f>
        <v>73</v>
      </c>
    </row>
    <row r="225" spans="1:4" x14ac:dyDescent="0.3">
      <c r="A225" t="s">
        <v>52</v>
      </c>
      <c r="B225">
        <f>QUARTILE(B$3:B$211,3)</f>
        <v>129.5</v>
      </c>
      <c r="C225">
        <f>QUARTILE(C$3:C$211,3)</f>
        <v>129.5</v>
      </c>
      <c r="D225">
        <f>QUARTILE(D$3:D$211,3)</f>
        <v>129</v>
      </c>
    </row>
    <row r="227" spans="1:4" x14ac:dyDescent="0.3">
      <c r="A227" t="s">
        <v>53</v>
      </c>
      <c r="B227">
        <f>MAX(B$3:B$211)</f>
        <v>588</v>
      </c>
      <c r="C227">
        <f>MAX(C$3:C$211)</f>
        <v>290</v>
      </c>
      <c r="D227">
        <f>MAX(D$3:D$211)</f>
        <v>290</v>
      </c>
    </row>
    <row r="229" spans="1:4" x14ac:dyDescent="0.3">
      <c r="A229" t="s">
        <v>54</v>
      </c>
      <c r="B229">
        <f>B227-B219</f>
        <v>584</v>
      </c>
      <c r="C229">
        <f>C227-C219</f>
        <v>286</v>
      </c>
      <c r="D229">
        <f>D227-D219</f>
        <v>286</v>
      </c>
    </row>
    <row r="231" spans="1:4" x14ac:dyDescent="0.3">
      <c r="A231" t="s">
        <v>55</v>
      </c>
      <c r="B231">
        <f>B221-B225</f>
        <v>-88.75</v>
      </c>
      <c r="C231">
        <f>C221-C225</f>
        <v>-88.75</v>
      </c>
      <c r="D231">
        <f>D221-D225</f>
        <v>-88</v>
      </c>
    </row>
    <row r="233" spans="1:4" x14ac:dyDescent="0.3">
      <c r="A233" t="s">
        <v>56</v>
      </c>
      <c r="B233">
        <f>MODE(B$3:B$211)</f>
        <v>58</v>
      </c>
      <c r="C233">
        <f>MODE(C$3:C$211)</f>
        <v>58</v>
      </c>
      <c r="D233">
        <f>MODE(D$3:D$211)</f>
        <v>58</v>
      </c>
    </row>
  </sheetData>
  <sortState xmlns:xlrd2="http://schemas.microsoft.com/office/spreadsheetml/2017/richdata2" ref="B3:B211">
    <sortCondition ref="B3:B211"/>
  </sortState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AF1CD-16A1-408D-8064-C7B5EE589CEB}">
  <dimension ref="A1:M233"/>
  <sheetViews>
    <sheetView zoomScale="115" zoomScaleNormal="115" workbookViewId="0">
      <selection activeCell="D214" sqref="D214:D233"/>
    </sheetView>
  </sheetViews>
  <sheetFormatPr defaultRowHeight="14.4" x14ac:dyDescent="0.3"/>
  <cols>
    <col min="8" max="8" width="15.5546875" customWidth="1"/>
  </cols>
  <sheetData>
    <row r="1" spans="2:13" x14ac:dyDescent="0.3">
      <c r="B1">
        <v>15</v>
      </c>
      <c r="D1">
        <v>15</v>
      </c>
    </row>
    <row r="2" spans="2:13" ht="15.6" x14ac:dyDescent="0.3">
      <c r="B2" t="s">
        <v>13</v>
      </c>
      <c r="D2" t="s">
        <v>13</v>
      </c>
      <c r="H2" s="11" t="s">
        <v>58</v>
      </c>
      <c r="I2" s="11" t="s">
        <v>115</v>
      </c>
      <c r="J2" s="11"/>
    </row>
    <row r="3" spans="2:13" ht="15.6" x14ac:dyDescent="0.3">
      <c r="B3">
        <v>26.35</v>
      </c>
      <c r="D3">
        <v>26.35</v>
      </c>
      <c r="H3" s="11" t="s">
        <v>116</v>
      </c>
      <c r="I3" s="11">
        <v>0</v>
      </c>
      <c r="J3" s="12"/>
    </row>
    <row r="4" spans="2:13" ht="15.6" x14ac:dyDescent="0.3">
      <c r="B4">
        <v>28.38</v>
      </c>
      <c r="D4">
        <v>28.38</v>
      </c>
      <c r="H4" s="11" t="s">
        <v>167</v>
      </c>
      <c r="I4" s="11">
        <v>3</v>
      </c>
      <c r="J4" s="21" t="s">
        <v>175</v>
      </c>
      <c r="K4" s="21"/>
      <c r="L4" s="21"/>
      <c r="M4" s="21"/>
    </row>
    <row r="5" spans="2:13" ht="15.6" x14ac:dyDescent="0.3">
      <c r="B5">
        <v>41.85</v>
      </c>
      <c r="D5">
        <v>41.85</v>
      </c>
      <c r="H5" s="11"/>
      <c r="I5" s="11"/>
      <c r="J5" s="11"/>
    </row>
    <row r="6" spans="2:13" ht="15.6" x14ac:dyDescent="0.3">
      <c r="B6">
        <v>43.4</v>
      </c>
      <c r="D6">
        <v>43.4</v>
      </c>
      <c r="H6" s="11" t="s">
        <v>74</v>
      </c>
      <c r="I6" s="11"/>
      <c r="J6" s="11"/>
    </row>
    <row r="7" spans="2:13" ht="15.6" x14ac:dyDescent="0.3">
      <c r="B7">
        <v>43.4</v>
      </c>
      <c r="D7">
        <v>43.4</v>
      </c>
      <c r="H7" s="11"/>
      <c r="I7" s="11"/>
      <c r="J7" s="11"/>
    </row>
    <row r="8" spans="2:13" ht="15.6" x14ac:dyDescent="0.3">
      <c r="B8">
        <v>46.5</v>
      </c>
      <c r="D8">
        <v>46.5</v>
      </c>
      <c r="H8" s="11"/>
      <c r="I8" s="11"/>
      <c r="J8" s="11"/>
    </row>
    <row r="9" spans="2:13" ht="15.6" x14ac:dyDescent="0.3">
      <c r="B9">
        <v>49.6</v>
      </c>
      <c r="D9">
        <v>49.6</v>
      </c>
      <c r="H9" t="s">
        <v>173</v>
      </c>
      <c r="I9" t="s">
        <v>121</v>
      </c>
      <c r="J9" s="11">
        <v>2</v>
      </c>
    </row>
    <row r="10" spans="2:13" ht="15.6" x14ac:dyDescent="0.3">
      <c r="B10">
        <v>49.6</v>
      </c>
      <c r="D10">
        <v>49.6</v>
      </c>
      <c r="H10" t="s">
        <v>174</v>
      </c>
      <c r="I10" t="s">
        <v>123</v>
      </c>
      <c r="J10" s="11">
        <f>COUNT(D$5:D$88)</f>
        <v>84</v>
      </c>
    </row>
    <row r="11" spans="2:13" ht="15.6" x14ac:dyDescent="0.3">
      <c r="B11">
        <v>54.25</v>
      </c>
      <c r="D11">
        <v>54.25</v>
      </c>
      <c r="H11" t="s">
        <v>144</v>
      </c>
      <c r="I11" t="s">
        <v>125</v>
      </c>
      <c r="J11" s="11">
        <f>COUNT(D89:D211)</f>
        <v>123</v>
      </c>
    </row>
    <row r="12" spans="2:13" x14ac:dyDescent="0.3">
      <c r="B12">
        <v>54.25</v>
      </c>
      <c r="D12">
        <v>54.25</v>
      </c>
    </row>
    <row r="13" spans="2:13" x14ac:dyDescent="0.3">
      <c r="B13">
        <v>54.25</v>
      </c>
      <c r="D13">
        <v>54.25</v>
      </c>
    </row>
    <row r="14" spans="2:13" x14ac:dyDescent="0.3">
      <c r="B14">
        <v>55.8</v>
      </c>
      <c r="D14">
        <v>55.8</v>
      </c>
    </row>
    <row r="15" spans="2:13" x14ac:dyDescent="0.3">
      <c r="B15">
        <v>56.76</v>
      </c>
      <c r="D15">
        <v>56.76</v>
      </c>
    </row>
    <row r="16" spans="2:13" x14ac:dyDescent="0.3">
      <c r="B16">
        <v>56.76</v>
      </c>
      <c r="D16">
        <v>56.76</v>
      </c>
    </row>
    <row r="17" spans="2:4" x14ac:dyDescent="0.3">
      <c r="B17">
        <v>56.76</v>
      </c>
      <c r="D17">
        <v>56.76</v>
      </c>
    </row>
    <row r="18" spans="2:4" x14ac:dyDescent="0.3">
      <c r="B18">
        <v>57</v>
      </c>
      <c r="D18">
        <v>57</v>
      </c>
    </row>
    <row r="19" spans="2:4" x14ac:dyDescent="0.3">
      <c r="B19">
        <v>57.35</v>
      </c>
      <c r="D19">
        <v>57.35</v>
      </c>
    </row>
    <row r="20" spans="2:4" x14ac:dyDescent="0.3">
      <c r="B20">
        <v>57.35</v>
      </c>
      <c r="D20">
        <v>57.35</v>
      </c>
    </row>
    <row r="21" spans="2:4" x14ac:dyDescent="0.3">
      <c r="B21">
        <v>57.35</v>
      </c>
      <c r="D21">
        <v>57.35</v>
      </c>
    </row>
    <row r="22" spans="2:4" x14ac:dyDescent="0.3">
      <c r="B22">
        <v>57.35</v>
      </c>
      <c r="D22">
        <v>57.35</v>
      </c>
    </row>
    <row r="23" spans="2:4" x14ac:dyDescent="0.3">
      <c r="B23">
        <v>58</v>
      </c>
      <c r="D23">
        <v>58</v>
      </c>
    </row>
    <row r="24" spans="2:4" x14ac:dyDescent="0.3">
      <c r="B24">
        <v>60.45</v>
      </c>
      <c r="D24">
        <v>60.45</v>
      </c>
    </row>
    <row r="25" spans="2:4" x14ac:dyDescent="0.3">
      <c r="B25">
        <v>60.45</v>
      </c>
      <c r="D25">
        <v>60.45</v>
      </c>
    </row>
    <row r="26" spans="2:4" x14ac:dyDescent="0.3">
      <c r="B26">
        <v>60.45</v>
      </c>
      <c r="D26">
        <v>60.45</v>
      </c>
    </row>
    <row r="27" spans="2:4" x14ac:dyDescent="0.3">
      <c r="B27">
        <v>60.63</v>
      </c>
      <c r="D27">
        <v>60.63</v>
      </c>
    </row>
    <row r="28" spans="2:4" x14ac:dyDescent="0.3">
      <c r="B28">
        <v>62</v>
      </c>
      <c r="D28">
        <v>62</v>
      </c>
    </row>
    <row r="29" spans="2:4" x14ac:dyDescent="0.3">
      <c r="B29">
        <v>65.099999999999994</v>
      </c>
      <c r="D29">
        <v>65.099999999999994</v>
      </c>
    </row>
    <row r="30" spans="2:4" x14ac:dyDescent="0.3">
      <c r="B30">
        <v>65.099999999999994</v>
      </c>
      <c r="D30">
        <v>65.099999999999994</v>
      </c>
    </row>
    <row r="31" spans="2:4" x14ac:dyDescent="0.3">
      <c r="B31">
        <v>66.650000000000006</v>
      </c>
      <c r="D31">
        <v>66.650000000000006</v>
      </c>
    </row>
    <row r="32" spans="2:4" x14ac:dyDescent="0.3">
      <c r="B32">
        <v>66.650000000000006</v>
      </c>
      <c r="D32">
        <v>66.650000000000006</v>
      </c>
    </row>
    <row r="33" spans="2:4" x14ac:dyDescent="0.3">
      <c r="B33">
        <v>67.08</v>
      </c>
      <c r="D33">
        <v>67.08</v>
      </c>
    </row>
    <row r="34" spans="2:4" x14ac:dyDescent="0.3">
      <c r="B34">
        <v>69.75</v>
      </c>
      <c r="D34">
        <v>69.75</v>
      </c>
    </row>
    <row r="35" spans="2:4" x14ac:dyDescent="0.3">
      <c r="B35">
        <v>71</v>
      </c>
      <c r="D35">
        <v>71</v>
      </c>
    </row>
    <row r="36" spans="2:4" x14ac:dyDescent="0.3">
      <c r="B36">
        <v>71.3</v>
      </c>
      <c r="D36">
        <v>71.3</v>
      </c>
    </row>
    <row r="37" spans="2:4" x14ac:dyDescent="0.3">
      <c r="B37">
        <v>71.3</v>
      </c>
      <c r="D37">
        <v>71.3</v>
      </c>
    </row>
    <row r="38" spans="2:4" x14ac:dyDescent="0.3">
      <c r="B38">
        <v>71.3</v>
      </c>
      <c r="D38">
        <v>71.3</v>
      </c>
    </row>
    <row r="39" spans="2:4" x14ac:dyDescent="0.3">
      <c r="B39">
        <v>71.3</v>
      </c>
      <c r="D39">
        <v>71.3</v>
      </c>
    </row>
    <row r="40" spans="2:4" x14ac:dyDescent="0.3">
      <c r="B40">
        <v>71.3</v>
      </c>
      <c r="D40">
        <v>71.3</v>
      </c>
    </row>
    <row r="41" spans="2:4" x14ac:dyDescent="0.3">
      <c r="B41">
        <v>71.3</v>
      </c>
      <c r="D41">
        <v>71.3</v>
      </c>
    </row>
    <row r="42" spans="2:4" x14ac:dyDescent="0.3">
      <c r="B42">
        <v>72.239999999999995</v>
      </c>
      <c r="D42">
        <v>72.239999999999995</v>
      </c>
    </row>
    <row r="43" spans="2:4" x14ac:dyDescent="0.3">
      <c r="B43">
        <v>72.239999999999995</v>
      </c>
      <c r="D43">
        <v>72.239999999999995</v>
      </c>
    </row>
    <row r="44" spans="2:4" x14ac:dyDescent="0.3">
      <c r="B44">
        <v>72.849999999999994</v>
      </c>
      <c r="D44">
        <v>72.849999999999994</v>
      </c>
    </row>
    <row r="45" spans="2:4" x14ac:dyDescent="0.3">
      <c r="B45">
        <v>72.849999999999994</v>
      </c>
      <c r="D45">
        <v>72.849999999999994</v>
      </c>
    </row>
    <row r="46" spans="2:4" x14ac:dyDescent="0.3">
      <c r="B46">
        <v>73.53</v>
      </c>
      <c r="D46">
        <v>73.53</v>
      </c>
    </row>
    <row r="47" spans="2:4" x14ac:dyDescent="0.3">
      <c r="B47">
        <v>73.53</v>
      </c>
      <c r="D47">
        <v>73.53</v>
      </c>
    </row>
    <row r="48" spans="2:4" x14ac:dyDescent="0.3">
      <c r="B48">
        <v>74.400000000000006</v>
      </c>
      <c r="D48">
        <v>74.400000000000006</v>
      </c>
    </row>
    <row r="49" spans="2:4" x14ac:dyDescent="0.3">
      <c r="B49">
        <v>74.400000000000006</v>
      </c>
      <c r="D49">
        <v>74.400000000000006</v>
      </c>
    </row>
    <row r="50" spans="2:4" x14ac:dyDescent="0.3">
      <c r="B50">
        <v>74.400000000000006</v>
      </c>
      <c r="D50">
        <v>74.400000000000006</v>
      </c>
    </row>
    <row r="51" spans="2:4" x14ac:dyDescent="0.3">
      <c r="B51">
        <v>74.400000000000006</v>
      </c>
      <c r="D51">
        <v>74.400000000000006</v>
      </c>
    </row>
    <row r="52" spans="2:4" x14ac:dyDescent="0.3">
      <c r="B52">
        <v>75.95</v>
      </c>
      <c r="D52">
        <v>75.95</v>
      </c>
    </row>
    <row r="53" spans="2:4" x14ac:dyDescent="0.3">
      <c r="B53">
        <v>75.95</v>
      </c>
      <c r="D53">
        <v>75.95</v>
      </c>
    </row>
    <row r="54" spans="2:4" x14ac:dyDescent="0.3">
      <c r="B54">
        <v>77.5</v>
      </c>
      <c r="D54">
        <v>77.5</v>
      </c>
    </row>
    <row r="55" spans="2:4" x14ac:dyDescent="0.3">
      <c r="B55">
        <v>77.5</v>
      </c>
      <c r="D55">
        <v>77.5</v>
      </c>
    </row>
    <row r="56" spans="2:4" x14ac:dyDescent="0.3">
      <c r="B56">
        <v>79.05</v>
      </c>
      <c r="D56">
        <v>79.05</v>
      </c>
    </row>
    <row r="57" spans="2:4" x14ac:dyDescent="0.3">
      <c r="B57">
        <v>79.05</v>
      </c>
      <c r="D57">
        <v>79.05</v>
      </c>
    </row>
    <row r="58" spans="2:4" x14ac:dyDescent="0.3">
      <c r="B58">
        <v>79.05</v>
      </c>
      <c r="D58">
        <v>79.05</v>
      </c>
    </row>
    <row r="59" spans="2:4" x14ac:dyDescent="0.3">
      <c r="B59">
        <v>79.98</v>
      </c>
      <c r="D59">
        <v>79.98</v>
      </c>
    </row>
    <row r="60" spans="2:4" x14ac:dyDescent="0.3">
      <c r="B60">
        <v>80.599999999999994</v>
      </c>
      <c r="D60">
        <v>80.599999999999994</v>
      </c>
    </row>
    <row r="61" spans="2:4" x14ac:dyDescent="0.3">
      <c r="B61">
        <v>82.15</v>
      </c>
      <c r="D61">
        <v>82.15</v>
      </c>
    </row>
    <row r="62" spans="2:4" x14ac:dyDescent="0.3">
      <c r="B62">
        <v>82.15</v>
      </c>
      <c r="D62">
        <v>82.15</v>
      </c>
    </row>
    <row r="63" spans="2:4" x14ac:dyDescent="0.3">
      <c r="B63">
        <v>82.56</v>
      </c>
      <c r="D63">
        <v>82.56</v>
      </c>
    </row>
    <row r="64" spans="2:4" x14ac:dyDescent="0.3">
      <c r="B64">
        <v>83.7</v>
      </c>
      <c r="D64">
        <v>83.7</v>
      </c>
    </row>
    <row r="65" spans="2:4" x14ac:dyDescent="0.3">
      <c r="B65">
        <v>85.25</v>
      </c>
      <c r="D65">
        <v>85.25</v>
      </c>
    </row>
    <row r="66" spans="2:4" x14ac:dyDescent="0.3">
      <c r="B66">
        <v>85.25</v>
      </c>
      <c r="D66">
        <v>85.25</v>
      </c>
    </row>
    <row r="67" spans="2:4" x14ac:dyDescent="0.3">
      <c r="B67">
        <v>86.8</v>
      </c>
      <c r="D67">
        <v>86.8</v>
      </c>
    </row>
    <row r="68" spans="2:4" x14ac:dyDescent="0.3">
      <c r="B68">
        <v>86.8</v>
      </c>
      <c r="D68">
        <v>86.8</v>
      </c>
    </row>
    <row r="69" spans="2:4" x14ac:dyDescent="0.3">
      <c r="B69">
        <v>88.35</v>
      </c>
      <c r="D69">
        <v>88.35</v>
      </c>
    </row>
    <row r="70" spans="2:4" x14ac:dyDescent="0.3">
      <c r="B70">
        <v>88.35</v>
      </c>
      <c r="D70">
        <v>88.35</v>
      </c>
    </row>
    <row r="71" spans="2:4" x14ac:dyDescent="0.3">
      <c r="B71">
        <v>89.9</v>
      </c>
      <c r="D71">
        <v>89.9</v>
      </c>
    </row>
    <row r="72" spans="2:4" x14ac:dyDescent="0.3">
      <c r="B72">
        <v>89.9</v>
      </c>
      <c r="D72">
        <v>89.9</v>
      </c>
    </row>
    <row r="73" spans="2:4" x14ac:dyDescent="0.3">
      <c r="B73">
        <v>89.9</v>
      </c>
      <c r="D73">
        <v>89.9</v>
      </c>
    </row>
    <row r="74" spans="2:4" x14ac:dyDescent="0.3">
      <c r="B74">
        <v>91.45</v>
      </c>
      <c r="D74">
        <v>91.45</v>
      </c>
    </row>
    <row r="75" spans="2:4" x14ac:dyDescent="0.3">
      <c r="B75">
        <v>93</v>
      </c>
      <c r="D75">
        <v>93</v>
      </c>
    </row>
    <row r="76" spans="2:4" x14ac:dyDescent="0.3">
      <c r="B76">
        <v>93</v>
      </c>
      <c r="D76">
        <v>93</v>
      </c>
    </row>
    <row r="77" spans="2:4" x14ac:dyDescent="0.3">
      <c r="B77">
        <v>94.55</v>
      </c>
      <c r="D77">
        <v>94.55</v>
      </c>
    </row>
    <row r="78" spans="2:4" x14ac:dyDescent="0.3">
      <c r="B78">
        <v>94.55</v>
      </c>
      <c r="D78">
        <v>94.55</v>
      </c>
    </row>
    <row r="79" spans="2:4" x14ac:dyDescent="0.3">
      <c r="B79">
        <v>95.46</v>
      </c>
      <c r="D79">
        <v>95.46</v>
      </c>
    </row>
    <row r="80" spans="2:4" x14ac:dyDescent="0.3">
      <c r="B80">
        <v>96.1</v>
      </c>
      <c r="D80">
        <v>96.1</v>
      </c>
    </row>
    <row r="81" spans="2:4" x14ac:dyDescent="0.3">
      <c r="B81">
        <v>96.1</v>
      </c>
      <c r="D81">
        <v>96.1</v>
      </c>
    </row>
    <row r="82" spans="2:4" x14ac:dyDescent="0.3">
      <c r="B82">
        <v>97.65</v>
      </c>
      <c r="D82">
        <v>97.65</v>
      </c>
    </row>
    <row r="83" spans="2:4" x14ac:dyDescent="0.3">
      <c r="B83">
        <v>97.65</v>
      </c>
      <c r="D83">
        <v>97.65</v>
      </c>
    </row>
    <row r="84" spans="2:4" x14ac:dyDescent="0.3">
      <c r="B84">
        <v>97.65</v>
      </c>
      <c r="D84">
        <v>97.65</v>
      </c>
    </row>
    <row r="85" spans="2:4" x14ac:dyDescent="0.3">
      <c r="B85">
        <v>97.65</v>
      </c>
      <c r="D85">
        <v>97.65</v>
      </c>
    </row>
    <row r="86" spans="2:4" x14ac:dyDescent="0.3">
      <c r="B86">
        <v>99</v>
      </c>
      <c r="D86">
        <v>99</v>
      </c>
    </row>
    <row r="87" spans="2:4" x14ac:dyDescent="0.3">
      <c r="B87">
        <v>99.2</v>
      </c>
      <c r="D87">
        <v>99.2</v>
      </c>
    </row>
    <row r="88" spans="2:4" x14ac:dyDescent="0.3">
      <c r="B88">
        <v>99.33</v>
      </c>
      <c r="D88">
        <v>99.33</v>
      </c>
    </row>
    <row r="89" spans="2:4" x14ac:dyDescent="0.3">
      <c r="B89">
        <v>100.75</v>
      </c>
      <c r="D89">
        <v>100.75</v>
      </c>
    </row>
    <row r="90" spans="2:4" x14ac:dyDescent="0.3">
      <c r="B90">
        <v>100.75</v>
      </c>
      <c r="D90">
        <v>100.75</v>
      </c>
    </row>
    <row r="91" spans="2:4" x14ac:dyDescent="0.3">
      <c r="B91">
        <v>101.91</v>
      </c>
      <c r="D91">
        <v>101.91</v>
      </c>
    </row>
    <row r="92" spans="2:4" x14ac:dyDescent="0.3">
      <c r="B92">
        <v>102.3</v>
      </c>
      <c r="D92">
        <v>102.3</v>
      </c>
    </row>
    <row r="93" spans="2:4" x14ac:dyDescent="0.3">
      <c r="B93">
        <v>102.3</v>
      </c>
      <c r="D93">
        <v>102.3</v>
      </c>
    </row>
    <row r="94" spans="2:4" x14ac:dyDescent="0.3">
      <c r="B94">
        <v>103.85</v>
      </c>
      <c r="D94">
        <v>103.85</v>
      </c>
    </row>
    <row r="95" spans="2:4" x14ac:dyDescent="0.3">
      <c r="B95">
        <v>104.49</v>
      </c>
      <c r="D95">
        <v>104.49</v>
      </c>
    </row>
    <row r="96" spans="2:4" x14ac:dyDescent="0.3">
      <c r="B96">
        <v>105.78</v>
      </c>
      <c r="D96">
        <v>105.78</v>
      </c>
    </row>
    <row r="97" spans="2:4" x14ac:dyDescent="0.3">
      <c r="B97">
        <v>106.95</v>
      </c>
      <c r="D97">
        <v>106.95</v>
      </c>
    </row>
    <row r="98" spans="2:4" x14ac:dyDescent="0.3">
      <c r="B98">
        <v>106.95</v>
      </c>
      <c r="D98">
        <v>106.95</v>
      </c>
    </row>
    <row r="99" spans="2:4" x14ac:dyDescent="0.3">
      <c r="B99">
        <v>106.95</v>
      </c>
      <c r="D99">
        <v>106.95</v>
      </c>
    </row>
    <row r="100" spans="2:4" x14ac:dyDescent="0.3">
      <c r="B100">
        <v>108.5</v>
      </c>
      <c r="D100">
        <v>108.5</v>
      </c>
    </row>
    <row r="101" spans="2:4" x14ac:dyDescent="0.3">
      <c r="B101">
        <v>108.5</v>
      </c>
      <c r="D101">
        <v>108.5</v>
      </c>
    </row>
    <row r="102" spans="2:4" x14ac:dyDescent="0.3">
      <c r="B102">
        <v>108.5</v>
      </c>
      <c r="D102">
        <v>108.5</v>
      </c>
    </row>
    <row r="103" spans="2:4" x14ac:dyDescent="0.3">
      <c r="B103">
        <v>110.05</v>
      </c>
      <c r="D103">
        <v>110.05</v>
      </c>
    </row>
    <row r="104" spans="2:4" x14ac:dyDescent="0.3">
      <c r="B104">
        <v>110.05</v>
      </c>
      <c r="D104">
        <v>110.05</v>
      </c>
    </row>
    <row r="105" spans="2:4" x14ac:dyDescent="0.3">
      <c r="B105">
        <v>110.05</v>
      </c>
      <c r="D105">
        <v>110.05</v>
      </c>
    </row>
    <row r="106" spans="2:4" x14ac:dyDescent="0.3">
      <c r="B106">
        <v>111.6</v>
      </c>
      <c r="D106">
        <v>111.6</v>
      </c>
    </row>
    <row r="107" spans="2:4" x14ac:dyDescent="0.3">
      <c r="B107">
        <v>113.15</v>
      </c>
      <c r="D107">
        <v>113.15</v>
      </c>
    </row>
    <row r="108" spans="2:4" x14ac:dyDescent="0.3">
      <c r="B108">
        <v>113.52</v>
      </c>
      <c r="D108">
        <v>113.52</v>
      </c>
    </row>
    <row r="109" spans="2:4" x14ac:dyDescent="0.3">
      <c r="B109">
        <v>114.7</v>
      </c>
      <c r="D109">
        <v>114.7</v>
      </c>
    </row>
    <row r="110" spans="2:4" x14ac:dyDescent="0.3">
      <c r="B110">
        <v>116.25</v>
      </c>
      <c r="D110">
        <v>116.25</v>
      </c>
    </row>
    <row r="111" spans="2:4" x14ac:dyDescent="0.3">
      <c r="B111">
        <v>116.25</v>
      </c>
      <c r="D111">
        <v>116.25</v>
      </c>
    </row>
    <row r="112" spans="2:4" x14ac:dyDescent="0.3">
      <c r="B112">
        <v>117.8</v>
      </c>
      <c r="D112">
        <v>117.8</v>
      </c>
    </row>
    <row r="113" spans="2:4" x14ac:dyDescent="0.3">
      <c r="B113">
        <v>117.8</v>
      </c>
      <c r="D113">
        <v>117.8</v>
      </c>
    </row>
    <row r="114" spans="2:4" x14ac:dyDescent="0.3">
      <c r="B114">
        <v>119.35</v>
      </c>
      <c r="D114">
        <v>119.35</v>
      </c>
    </row>
    <row r="115" spans="2:4" x14ac:dyDescent="0.3">
      <c r="B115">
        <v>119.35</v>
      </c>
      <c r="D115">
        <v>119.35</v>
      </c>
    </row>
    <row r="116" spans="2:4" x14ac:dyDescent="0.3">
      <c r="B116">
        <v>119.35</v>
      </c>
      <c r="D116">
        <v>119.35</v>
      </c>
    </row>
    <row r="117" spans="2:4" x14ac:dyDescent="0.3">
      <c r="B117">
        <v>120.9</v>
      </c>
      <c r="D117">
        <v>120.9</v>
      </c>
    </row>
    <row r="118" spans="2:4" x14ac:dyDescent="0.3">
      <c r="B118">
        <v>120.9</v>
      </c>
      <c r="D118">
        <v>120.9</v>
      </c>
    </row>
    <row r="119" spans="2:4" x14ac:dyDescent="0.3">
      <c r="B119">
        <v>120.9</v>
      </c>
      <c r="D119">
        <v>120.9</v>
      </c>
    </row>
    <row r="120" spans="2:4" x14ac:dyDescent="0.3">
      <c r="B120">
        <v>120.9</v>
      </c>
      <c r="D120">
        <v>120.9</v>
      </c>
    </row>
    <row r="121" spans="2:4" x14ac:dyDescent="0.3">
      <c r="B121">
        <v>120.9</v>
      </c>
      <c r="D121">
        <v>120.9</v>
      </c>
    </row>
    <row r="122" spans="2:4" x14ac:dyDescent="0.3">
      <c r="B122">
        <v>121.26</v>
      </c>
      <c r="D122">
        <v>121.26</v>
      </c>
    </row>
    <row r="123" spans="2:4" x14ac:dyDescent="0.3">
      <c r="B123">
        <v>122.45</v>
      </c>
      <c r="D123">
        <v>122.45</v>
      </c>
    </row>
    <row r="124" spans="2:4" x14ac:dyDescent="0.3">
      <c r="B124">
        <v>122.45</v>
      </c>
      <c r="D124">
        <v>122.45</v>
      </c>
    </row>
    <row r="125" spans="2:4" x14ac:dyDescent="0.3">
      <c r="B125">
        <v>122.45</v>
      </c>
      <c r="D125">
        <v>122.45</v>
      </c>
    </row>
    <row r="126" spans="2:4" x14ac:dyDescent="0.3">
      <c r="B126">
        <v>125.55</v>
      </c>
      <c r="D126">
        <v>125.55</v>
      </c>
    </row>
    <row r="127" spans="2:4" x14ac:dyDescent="0.3">
      <c r="B127">
        <v>126.42</v>
      </c>
      <c r="D127">
        <v>126.42</v>
      </c>
    </row>
    <row r="128" spans="2:4" x14ac:dyDescent="0.3">
      <c r="B128">
        <v>127.1</v>
      </c>
      <c r="D128">
        <v>127.1</v>
      </c>
    </row>
    <row r="129" spans="2:4" x14ac:dyDescent="0.3">
      <c r="B129">
        <v>127.1</v>
      </c>
      <c r="D129">
        <v>127.1</v>
      </c>
    </row>
    <row r="130" spans="2:4" x14ac:dyDescent="0.3">
      <c r="B130">
        <v>127.1</v>
      </c>
      <c r="D130">
        <v>127.1</v>
      </c>
    </row>
    <row r="131" spans="2:4" x14ac:dyDescent="0.3">
      <c r="B131">
        <v>127.71</v>
      </c>
      <c r="D131">
        <v>127.71</v>
      </c>
    </row>
    <row r="132" spans="2:4" x14ac:dyDescent="0.3">
      <c r="B132">
        <v>128.65</v>
      </c>
      <c r="D132">
        <v>128.65</v>
      </c>
    </row>
    <row r="133" spans="2:4" x14ac:dyDescent="0.3">
      <c r="B133">
        <v>128.65</v>
      </c>
      <c r="D133">
        <v>128.65</v>
      </c>
    </row>
    <row r="134" spans="2:4" x14ac:dyDescent="0.3">
      <c r="B134">
        <v>128.65</v>
      </c>
      <c r="D134">
        <v>128.65</v>
      </c>
    </row>
    <row r="135" spans="2:4" x14ac:dyDescent="0.3">
      <c r="B135">
        <v>130.19999999999999</v>
      </c>
      <c r="D135">
        <v>130.19999999999999</v>
      </c>
    </row>
    <row r="136" spans="2:4" x14ac:dyDescent="0.3">
      <c r="B136">
        <v>130.19999999999999</v>
      </c>
      <c r="D136">
        <v>130.19999999999999</v>
      </c>
    </row>
    <row r="137" spans="2:4" x14ac:dyDescent="0.3">
      <c r="B137">
        <v>133.30000000000001</v>
      </c>
      <c r="D137">
        <v>133.30000000000001</v>
      </c>
    </row>
    <row r="138" spans="2:4" x14ac:dyDescent="0.3">
      <c r="B138">
        <v>134</v>
      </c>
      <c r="D138">
        <v>134</v>
      </c>
    </row>
    <row r="139" spans="2:4" x14ac:dyDescent="0.3">
      <c r="B139">
        <v>134.85</v>
      </c>
      <c r="D139">
        <v>134.85</v>
      </c>
    </row>
    <row r="140" spans="2:4" x14ac:dyDescent="0.3">
      <c r="B140">
        <v>134.85</v>
      </c>
      <c r="D140">
        <v>134.85</v>
      </c>
    </row>
    <row r="141" spans="2:4" x14ac:dyDescent="0.3">
      <c r="B141">
        <v>134.85</v>
      </c>
      <c r="D141">
        <v>134.85</v>
      </c>
    </row>
    <row r="142" spans="2:4" x14ac:dyDescent="0.3">
      <c r="B142">
        <v>134.85</v>
      </c>
      <c r="D142">
        <v>134.85</v>
      </c>
    </row>
    <row r="143" spans="2:4" x14ac:dyDescent="0.3">
      <c r="B143">
        <v>136.4</v>
      </c>
      <c r="D143">
        <v>136.4</v>
      </c>
    </row>
    <row r="144" spans="2:4" x14ac:dyDescent="0.3">
      <c r="B144">
        <v>136.74</v>
      </c>
      <c r="D144">
        <v>136.74</v>
      </c>
    </row>
    <row r="145" spans="2:4" x14ac:dyDescent="0.3">
      <c r="B145">
        <v>137.94999999999999</v>
      </c>
      <c r="D145">
        <v>137.94999999999999</v>
      </c>
    </row>
    <row r="146" spans="2:4" x14ac:dyDescent="0.3">
      <c r="B146">
        <v>137.94999999999999</v>
      </c>
      <c r="D146">
        <v>137.94999999999999</v>
      </c>
    </row>
    <row r="147" spans="2:4" x14ac:dyDescent="0.3">
      <c r="B147">
        <v>137.94999999999999</v>
      </c>
      <c r="D147">
        <v>137.94999999999999</v>
      </c>
    </row>
    <row r="148" spans="2:4" x14ac:dyDescent="0.3">
      <c r="B148">
        <v>137.94999999999999</v>
      </c>
      <c r="D148">
        <v>137.94999999999999</v>
      </c>
    </row>
    <row r="149" spans="2:4" x14ac:dyDescent="0.3">
      <c r="B149">
        <v>139.5</v>
      </c>
      <c r="D149">
        <v>139.5</v>
      </c>
    </row>
    <row r="150" spans="2:4" x14ac:dyDescent="0.3">
      <c r="B150">
        <v>141.05000000000001</v>
      </c>
      <c r="D150">
        <v>141.05000000000001</v>
      </c>
    </row>
    <row r="151" spans="2:4" x14ac:dyDescent="0.3">
      <c r="B151">
        <v>142.6</v>
      </c>
      <c r="D151">
        <v>142.6</v>
      </c>
    </row>
    <row r="152" spans="2:4" x14ac:dyDescent="0.3">
      <c r="B152">
        <v>144.15</v>
      </c>
      <c r="D152">
        <v>144.15</v>
      </c>
    </row>
    <row r="153" spans="2:4" x14ac:dyDescent="0.3">
      <c r="B153">
        <v>145.69999999999999</v>
      </c>
      <c r="D153">
        <v>145.69999999999999</v>
      </c>
    </row>
    <row r="154" spans="2:4" x14ac:dyDescent="0.3">
      <c r="B154">
        <v>147.25</v>
      </c>
      <c r="D154">
        <v>147.25</v>
      </c>
    </row>
    <row r="155" spans="2:4" x14ac:dyDescent="0.3">
      <c r="B155">
        <v>147.25</v>
      </c>
      <c r="D155">
        <v>147.25</v>
      </c>
    </row>
    <row r="156" spans="2:4" x14ac:dyDescent="0.3">
      <c r="B156">
        <v>150.35</v>
      </c>
      <c r="D156">
        <v>150.35</v>
      </c>
    </row>
    <row r="157" spans="2:4" x14ac:dyDescent="0.3">
      <c r="B157">
        <v>151.9</v>
      </c>
      <c r="D157">
        <v>151.9</v>
      </c>
    </row>
    <row r="158" spans="2:4" x14ac:dyDescent="0.3">
      <c r="B158">
        <v>151.9</v>
      </c>
      <c r="D158">
        <v>151.9</v>
      </c>
    </row>
    <row r="159" spans="2:4" x14ac:dyDescent="0.3">
      <c r="B159">
        <v>151.9</v>
      </c>
      <c r="D159">
        <v>151.9</v>
      </c>
    </row>
    <row r="160" spans="2:4" x14ac:dyDescent="0.3">
      <c r="B160">
        <v>151.9</v>
      </c>
      <c r="D160">
        <v>151.9</v>
      </c>
    </row>
    <row r="161" spans="2:4" x14ac:dyDescent="0.3">
      <c r="B161">
        <v>153.44999999999999</v>
      </c>
      <c r="D161">
        <v>153.44999999999999</v>
      </c>
    </row>
    <row r="162" spans="2:4" x14ac:dyDescent="0.3">
      <c r="B162">
        <v>153.44999999999999</v>
      </c>
      <c r="D162">
        <v>153.44999999999999</v>
      </c>
    </row>
    <row r="163" spans="2:4" x14ac:dyDescent="0.3">
      <c r="B163">
        <v>153.44999999999999</v>
      </c>
      <c r="D163">
        <v>153.44999999999999</v>
      </c>
    </row>
    <row r="164" spans="2:4" x14ac:dyDescent="0.3">
      <c r="B164">
        <v>155</v>
      </c>
      <c r="D164">
        <v>155</v>
      </c>
    </row>
    <row r="165" spans="2:4" x14ac:dyDescent="0.3">
      <c r="B165">
        <v>155</v>
      </c>
      <c r="D165">
        <v>155</v>
      </c>
    </row>
    <row r="166" spans="2:4" x14ac:dyDescent="0.3">
      <c r="B166">
        <v>159.65</v>
      </c>
      <c r="D166">
        <v>159.65</v>
      </c>
    </row>
    <row r="167" spans="2:4" x14ac:dyDescent="0.3">
      <c r="B167">
        <v>164.3</v>
      </c>
      <c r="D167">
        <v>164.3</v>
      </c>
    </row>
    <row r="168" spans="2:4" x14ac:dyDescent="0.3">
      <c r="B168">
        <v>165.85</v>
      </c>
      <c r="D168">
        <v>165.85</v>
      </c>
    </row>
    <row r="169" spans="2:4" x14ac:dyDescent="0.3">
      <c r="B169">
        <v>165.85</v>
      </c>
      <c r="D169">
        <v>165.85</v>
      </c>
    </row>
    <row r="170" spans="2:4" x14ac:dyDescent="0.3">
      <c r="B170">
        <v>165.85</v>
      </c>
      <c r="D170">
        <v>165.85</v>
      </c>
    </row>
    <row r="171" spans="2:4" x14ac:dyDescent="0.3">
      <c r="B171">
        <v>167.4</v>
      </c>
      <c r="D171">
        <v>167.4</v>
      </c>
    </row>
    <row r="172" spans="2:4" x14ac:dyDescent="0.3">
      <c r="B172">
        <v>167.4</v>
      </c>
      <c r="D172">
        <v>167.4</v>
      </c>
    </row>
    <row r="173" spans="2:4" x14ac:dyDescent="0.3">
      <c r="B173">
        <v>170.5</v>
      </c>
      <c r="D173">
        <v>170.5</v>
      </c>
    </row>
    <row r="174" spans="2:4" x14ac:dyDescent="0.3">
      <c r="B174">
        <v>170.5</v>
      </c>
      <c r="D174">
        <v>170.5</v>
      </c>
    </row>
    <row r="175" spans="2:4" x14ac:dyDescent="0.3">
      <c r="B175">
        <v>170.5</v>
      </c>
      <c r="D175">
        <v>170.5</v>
      </c>
    </row>
    <row r="176" spans="2:4" x14ac:dyDescent="0.3">
      <c r="B176">
        <v>170.5</v>
      </c>
      <c r="D176">
        <v>170.5</v>
      </c>
    </row>
    <row r="177" spans="2:4" x14ac:dyDescent="0.3">
      <c r="B177">
        <v>170.5</v>
      </c>
      <c r="D177">
        <v>170.5</v>
      </c>
    </row>
    <row r="178" spans="2:4" x14ac:dyDescent="0.3">
      <c r="B178">
        <v>172.05</v>
      </c>
      <c r="D178">
        <v>172.05</v>
      </c>
    </row>
    <row r="179" spans="2:4" x14ac:dyDescent="0.3">
      <c r="B179">
        <v>173.6</v>
      </c>
      <c r="D179">
        <v>173.6</v>
      </c>
    </row>
    <row r="180" spans="2:4" x14ac:dyDescent="0.3">
      <c r="B180">
        <v>176.7</v>
      </c>
      <c r="D180">
        <v>176.7</v>
      </c>
    </row>
    <row r="181" spans="2:4" x14ac:dyDescent="0.3">
      <c r="B181">
        <v>178.25</v>
      </c>
      <c r="D181">
        <v>178.25</v>
      </c>
    </row>
    <row r="182" spans="2:4" x14ac:dyDescent="0.3">
      <c r="B182">
        <v>179.8</v>
      </c>
      <c r="D182">
        <v>179.8</v>
      </c>
    </row>
    <row r="183" spans="2:4" x14ac:dyDescent="0.3">
      <c r="B183">
        <v>180.6</v>
      </c>
      <c r="D183">
        <v>180.6</v>
      </c>
    </row>
    <row r="184" spans="2:4" x14ac:dyDescent="0.3">
      <c r="B184">
        <v>181.35</v>
      </c>
      <c r="D184">
        <v>181.35</v>
      </c>
    </row>
    <row r="185" spans="2:4" x14ac:dyDescent="0.3">
      <c r="B185">
        <v>182.9</v>
      </c>
      <c r="D185">
        <v>182.9</v>
      </c>
    </row>
    <row r="186" spans="2:4" x14ac:dyDescent="0.3">
      <c r="B186">
        <v>182.9</v>
      </c>
      <c r="D186">
        <v>182.9</v>
      </c>
    </row>
    <row r="187" spans="2:4" x14ac:dyDescent="0.3">
      <c r="B187">
        <v>186</v>
      </c>
      <c r="D187">
        <v>186</v>
      </c>
    </row>
    <row r="188" spans="2:4" x14ac:dyDescent="0.3">
      <c r="B188">
        <v>187.55</v>
      </c>
      <c r="D188">
        <v>187.55</v>
      </c>
    </row>
    <row r="189" spans="2:4" x14ac:dyDescent="0.3">
      <c r="B189">
        <v>188.34</v>
      </c>
      <c r="D189">
        <v>188.34</v>
      </c>
    </row>
    <row r="190" spans="2:4" x14ac:dyDescent="0.3">
      <c r="B190">
        <v>189.1</v>
      </c>
      <c r="D190">
        <v>189.1</v>
      </c>
    </row>
    <row r="191" spans="2:4" x14ac:dyDescent="0.3">
      <c r="B191">
        <v>196.85</v>
      </c>
      <c r="D191">
        <v>196.85</v>
      </c>
    </row>
    <row r="192" spans="2:4" x14ac:dyDescent="0.3">
      <c r="B192">
        <v>198.4</v>
      </c>
      <c r="D192">
        <v>198.4</v>
      </c>
    </row>
    <row r="193" spans="2:4" x14ac:dyDescent="0.3">
      <c r="B193">
        <v>198.4</v>
      </c>
      <c r="D193">
        <v>198.4</v>
      </c>
    </row>
    <row r="194" spans="2:4" x14ac:dyDescent="0.3">
      <c r="B194">
        <v>201.5</v>
      </c>
      <c r="D194">
        <v>201.5</v>
      </c>
    </row>
    <row r="195" spans="2:4" x14ac:dyDescent="0.3">
      <c r="B195">
        <v>203.05</v>
      </c>
      <c r="D195">
        <v>203.05</v>
      </c>
    </row>
    <row r="196" spans="2:4" x14ac:dyDescent="0.3">
      <c r="B196">
        <v>206.4</v>
      </c>
      <c r="D196">
        <v>206.4</v>
      </c>
    </row>
    <row r="197" spans="2:4" x14ac:dyDescent="0.3">
      <c r="B197">
        <v>206.4</v>
      </c>
      <c r="D197">
        <v>206.4</v>
      </c>
    </row>
    <row r="198" spans="2:4" x14ac:dyDescent="0.3">
      <c r="B198">
        <v>210.8</v>
      </c>
      <c r="D198">
        <v>210.8</v>
      </c>
    </row>
    <row r="199" spans="2:4" x14ac:dyDescent="0.3">
      <c r="B199">
        <v>215.45</v>
      </c>
      <c r="D199">
        <v>215.45</v>
      </c>
    </row>
    <row r="200" spans="2:4" x14ac:dyDescent="0.3">
      <c r="B200">
        <v>218.55</v>
      </c>
      <c r="D200">
        <v>218.55</v>
      </c>
    </row>
    <row r="201" spans="2:4" x14ac:dyDescent="0.3">
      <c r="B201">
        <v>218.55</v>
      </c>
      <c r="D201">
        <v>218.55</v>
      </c>
    </row>
    <row r="202" spans="2:4" x14ac:dyDescent="0.3">
      <c r="B202">
        <v>221.88</v>
      </c>
      <c r="D202">
        <v>221.88</v>
      </c>
    </row>
    <row r="203" spans="2:4" x14ac:dyDescent="0.3">
      <c r="B203">
        <v>227.04</v>
      </c>
      <c r="D203">
        <v>227.04</v>
      </c>
    </row>
    <row r="204" spans="2:4" x14ac:dyDescent="0.3">
      <c r="B204">
        <v>232.5</v>
      </c>
      <c r="D204">
        <v>232.5</v>
      </c>
    </row>
    <row r="205" spans="2:4" x14ac:dyDescent="0.3">
      <c r="B205">
        <v>237.15</v>
      </c>
      <c r="D205">
        <v>237.15</v>
      </c>
    </row>
    <row r="206" spans="2:4" x14ac:dyDescent="0.3">
      <c r="B206">
        <v>244.9</v>
      </c>
      <c r="D206">
        <v>244.9</v>
      </c>
    </row>
    <row r="207" spans="2:4" x14ac:dyDescent="0.3">
      <c r="B207">
        <v>246.45</v>
      </c>
      <c r="D207" s="24">
        <v>246.45</v>
      </c>
    </row>
    <row r="208" spans="2:4" x14ac:dyDescent="0.3">
      <c r="B208" s="21">
        <v>280.55</v>
      </c>
      <c r="D208" s="21">
        <v>246.45</v>
      </c>
    </row>
    <row r="209" spans="1:4" x14ac:dyDescent="0.3">
      <c r="B209" s="21">
        <v>299.14999999999998</v>
      </c>
      <c r="D209" s="21">
        <v>246.45</v>
      </c>
    </row>
    <row r="210" spans="1:4" x14ac:dyDescent="0.3">
      <c r="B210" s="21">
        <v>328.6</v>
      </c>
      <c r="D210" s="21">
        <v>246.45</v>
      </c>
    </row>
    <row r="211" spans="1:4" x14ac:dyDescent="0.3">
      <c r="B211" s="21">
        <v>457.25</v>
      </c>
      <c r="D211" s="21">
        <v>246.45</v>
      </c>
    </row>
    <row r="214" spans="1:4" x14ac:dyDescent="0.3">
      <c r="A214" t="s">
        <v>47</v>
      </c>
      <c r="B214" s="3">
        <f>AVERAGE(B$3:B$211)</f>
        <v>121.68267942583736</v>
      </c>
      <c r="D214" s="3">
        <f>AVERAGE(D$3:D$211)</f>
        <v>119.86569377990436</v>
      </c>
    </row>
    <row r="216" spans="1:4" ht="15.6" x14ac:dyDescent="0.3">
      <c r="A216" t="s">
        <v>48</v>
      </c>
      <c r="B216" s="4">
        <f>STDEV(B$3:B$211)</f>
        <v>57.673767496230319</v>
      </c>
      <c r="D216" s="4">
        <f>STDEV(D$3:D$211)</f>
        <v>51.013132562775496</v>
      </c>
    </row>
    <row r="219" spans="1:4" x14ac:dyDescent="0.3">
      <c r="A219" t="s">
        <v>49</v>
      </c>
      <c r="B219">
        <f>MIN(B$3:B$211)</f>
        <v>26.35</v>
      </c>
      <c r="D219">
        <f>MIN(D$3:D$211)</f>
        <v>26.35</v>
      </c>
    </row>
    <row r="221" spans="1:4" x14ac:dyDescent="0.3">
      <c r="A221" t="s">
        <v>50</v>
      </c>
      <c r="B221" s="3">
        <f>QUARTILE(B$3:B$211,1)</f>
        <v>77.5</v>
      </c>
      <c r="D221" s="3">
        <f>QUARTILE(D$3:D$211,1)</f>
        <v>77.5</v>
      </c>
    </row>
    <row r="223" spans="1:4" x14ac:dyDescent="0.3">
      <c r="A223" t="s">
        <v>51</v>
      </c>
      <c r="B223" s="3">
        <f>MEDIAN(B$3:B$211)</f>
        <v>113.15</v>
      </c>
      <c r="D223" s="3">
        <f>MEDIAN(D$3:D$211)</f>
        <v>113.15</v>
      </c>
    </row>
    <row r="225" spans="1:4" x14ac:dyDescent="0.3">
      <c r="A225" t="s">
        <v>52</v>
      </c>
      <c r="B225">
        <f>QUARTILE(B$3:B$211,3)</f>
        <v>151.9</v>
      </c>
      <c r="D225">
        <f>QUARTILE(D$3:D$211,3)</f>
        <v>151.9</v>
      </c>
    </row>
    <row r="227" spans="1:4" x14ac:dyDescent="0.3">
      <c r="A227" t="s">
        <v>53</v>
      </c>
      <c r="B227">
        <f>MAX(B$3:B$211)</f>
        <v>457.25</v>
      </c>
      <c r="D227">
        <f>MAX(D$3:D$211)</f>
        <v>246.45</v>
      </c>
    </row>
    <row r="229" spans="1:4" x14ac:dyDescent="0.3">
      <c r="A229" t="s">
        <v>54</v>
      </c>
      <c r="B229">
        <f>B227-B219</f>
        <v>430.9</v>
      </c>
      <c r="D229">
        <f>D227-D219</f>
        <v>220.1</v>
      </c>
    </row>
    <row r="231" spans="1:4" x14ac:dyDescent="0.3">
      <c r="A231" t="s">
        <v>55</v>
      </c>
      <c r="B231">
        <f>B221-B225</f>
        <v>-74.400000000000006</v>
      </c>
      <c r="D231">
        <f>D221-D225</f>
        <v>-74.400000000000006</v>
      </c>
    </row>
    <row r="233" spans="1:4" x14ac:dyDescent="0.3">
      <c r="A233" t="s">
        <v>56</v>
      </c>
      <c r="B233">
        <f>MODE(B$3:B$211)</f>
        <v>71.3</v>
      </c>
      <c r="D233">
        <f>MODE(D$3:D$211)</f>
        <v>71.3</v>
      </c>
    </row>
  </sheetData>
  <sortState xmlns:xlrd2="http://schemas.microsoft.com/office/spreadsheetml/2017/richdata2" ref="D3:D211">
    <sortCondition ref="D3:D211"/>
  </sortState>
  <pageMargins left="0.7" right="0.7" top="0.75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B7957-898E-4727-ABCE-1AD53DA85A8B}">
  <dimension ref="A1:M233"/>
  <sheetViews>
    <sheetView workbookViewId="0">
      <selection activeCell="D214" sqref="D214:D233"/>
    </sheetView>
  </sheetViews>
  <sheetFormatPr defaultRowHeight="14.4" x14ac:dyDescent="0.3"/>
  <cols>
    <col min="2" max="2" width="14.33203125" customWidth="1"/>
    <col min="3" max="3" width="15" customWidth="1"/>
    <col min="4" max="4" width="21.5546875" customWidth="1"/>
    <col min="7" max="7" width="15.33203125" customWidth="1"/>
    <col min="8" max="8" width="17.109375" customWidth="1"/>
  </cols>
  <sheetData>
    <row r="1" spans="2:13" x14ac:dyDescent="0.3">
      <c r="B1">
        <v>16</v>
      </c>
      <c r="C1">
        <v>16</v>
      </c>
      <c r="D1">
        <v>16</v>
      </c>
    </row>
    <row r="2" spans="2:13" ht="15.6" x14ac:dyDescent="0.3">
      <c r="B2" t="s">
        <v>14</v>
      </c>
      <c r="C2" t="s">
        <v>176</v>
      </c>
      <c r="D2" t="s">
        <v>177</v>
      </c>
      <c r="G2" s="11" t="s">
        <v>58</v>
      </c>
      <c r="H2" s="11" t="s">
        <v>115</v>
      </c>
      <c r="I2" s="11"/>
    </row>
    <row r="3" spans="2:13" ht="46.8" x14ac:dyDescent="0.3">
      <c r="B3">
        <v>46</v>
      </c>
      <c r="C3">
        <v>46</v>
      </c>
      <c r="D3">
        <v>46</v>
      </c>
      <c r="G3" s="11" t="s">
        <v>116</v>
      </c>
      <c r="H3" s="11">
        <v>25</v>
      </c>
      <c r="I3" s="12" t="s">
        <v>171</v>
      </c>
    </row>
    <row r="4" spans="2:13" ht="15.6" x14ac:dyDescent="0.3">
      <c r="B4">
        <v>49</v>
      </c>
      <c r="C4">
        <v>49</v>
      </c>
      <c r="D4">
        <v>49</v>
      </c>
      <c r="G4" s="11" t="s">
        <v>167</v>
      </c>
      <c r="H4" s="11">
        <v>2</v>
      </c>
      <c r="I4" s="25">
        <v>382598</v>
      </c>
    </row>
    <row r="5" spans="2:13" ht="15.6" x14ac:dyDescent="0.3">
      <c r="B5">
        <v>50</v>
      </c>
      <c r="C5">
        <v>50</v>
      </c>
      <c r="D5">
        <v>50</v>
      </c>
      <c r="G5" s="11"/>
      <c r="H5" s="11"/>
      <c r="I5" s="13"/>
      <c r="M5" s="15"/>
    </row>
    <row r="6" spans="2:13" ht="15.6" x14ac:dyDescent="0.3">
      <c r="B6">
        <v>52</v>
      </c>
      <c r="C6">
        <v>52</v>
      </c>
      <c r="D6">
        <v>52</v>
      </c>
      <c r="G6" s="11"/>
      <c r="H6" s="11"/>
      <c r="I6" s="11"/>
    </row>
    <row r="7" spans="2:13" ht="15.6" x14ac:dyDescent="0.3">
      <c r="B7">
        <v>52</v>
      </c>
      <c r="C7">
        <v>52</v>
      </c>
      <c r="D7">
        <v>52</v>
      </c>
      <c r="G7" s="11"/>
      <c r="H7" s="11"/>
      <c r="I7" s="11"/>
    </row>
    <row r="8" spans="2:13" ht="15.6" x14ac:dyDescent="0.3">
      <c r="B8">
        <v>53</v>
      </c>
      <c r="C8">
        <v>53</v>
      </c>
      <c r="D8">
        <v>53</v>
      </c>
      <c r="G8" s="11" t="s">
        <v>117</v>
      </c>
      <c r="H8" s="11"/>
      <c r="I8" s="11"/>
    </row>
    <row r="9" spans="2:13" ht="15.6" x14ac:dyDescent="0.3">
      <c r="B9">
        <v>55</v>
      </c>
      <c r="C9">
        <v>55</v>
      </c>
      <c r="D9">
        <v>55</v>
      </c>
      <c r="G9" s="11"/>
      <c r="H9" s="11"/>
      <c r="I9" s="11" t="s">
        <v>75</v>
      </c>
    </row>
    <row r="10" spans="2:13" ht="15.6" x14ac:dyDescent="0.3">
      <c r="B10">
        <v>55</v>
      </c>
      <c r="C10">
        <v>55</v>
      </c>
      <c r="D10">
        <v>55</v>
      </c>
      <c r="G10" s="11" t="s">
        <v>128</v>
      </c>
      <c r="H10" s="11" t="s">
        <v>121</v>
      </c>
      <c r="I10" s="11">
        <v>160</v>
      </c>
    </row>
    <row r="11" spans="2:13" ht="15.6" x14ac:dyDescent="0.3">
      <c r="B11">
        <v>55</v>
      </c>
      <c r="C11">
        <v>55</v>
      </c>
      <c r="D11">
        <v>55</v>
      </c>
      <c r="G11" s="11" t="s">
        <v>145</v>
      </c>
      <c r="H11" s="16" t="s">
        <v>146</v>
      </c>
      <c r="I11" s="11">
        <f>+COUNT(D138:D167)</f>
        <v>30</v>
      </c>
    </row>
    <row r="12" spans="2:13" ht="15.6" x14ac:dyDescent="0.3">
      <c r="B12">
        <v>55</v>
      </c>
      <c r="C12">
        <v>55</v>
      </c>
      <c r="D12">
        <v>55</v>
      </c>
      <c r="G12" s="11" t="s">
        <v>147</v>
      </c>
      <c r="H12" s="11" t="s">
        <v>143</v>
      </c>
      <c r="I12" s="11">
        <v>19</v>
      </c>
    </row>
    <row r="13" spans="2:13" ht="15.6" x14ac:dyDescent="0.3">
      <c r="B13">
        <v>56</v>
      </c>
      <c r="C13">
        <v>56</v>
      </c>
      <c r="D13">
        <v>56</v>
      </c>
      <c r="G13" s="11" t="s">
        <v>148</v>
      </c>
      <c r="H13" s="11" t="s">
        <v>149</v>
      </c>
      <c r="I13" s="11">
        <v>0</v>
      </c>
    </row>
    <row r="14" spans="2:13" ht="15.6" x14ac:dyDescent="0.3">
      <c r="B14">
        <v>56</v>
      </c>
      <c r="C14">
        <v>56</v>
      </c>
      <c r="D14">
        <v>56</v>
      </c>
      <c r="I14" s="11"/>
    </row>
    <row r="15" spans="2:13" ht="15.6" x14ac:dyDescent="0.3">
      <c r="B15">
        <v>56</v>
      </c>
      <c r="C15">
        <v>56</v>
      </c>
      <c r="D15">
        <v>56</v>
      </c>
      <c r="I15" s="11"/>
    </row>
    <row r="16" spans="2:13" x14ac:dyDescent="0.3">
      <c r="B16">
        <v>58</v>
      </c>
      <c r="C16">
        <v>58</v>
      </c>
      <c r="D16">
        <v>58</v>
      </c>
    </row>
    <row r="17" spans="2:4" x14ac:dyDescent="0.3">
      <c r="B17">
        <v>58</v>
      </c>
      <c r="C17">
        <v>58</v>
      </c>
      <c r="D17">
        <v>58</v>
      </c>
    </row>
    <row r="18" spans="2:4" x14ac:dyDescent="0.3">
      <c r="B18">
        <v>58</v>
      </c>
      <c r="C18">
        <v>58</v>
      </c>
      <c r="D18">
        <v>58</v>
      </c>
    </row>
    <row r="19" spans="2:4" x14ac:dyDescent="0.3">
      <c r="B19">
        <v>62</v>
      </c>
      <c r="C19">
        <v>62</v>
      </c>
      <c r="D19">
        <v>62</v>
      </c>
    </row>
    <row r="20" spans="2:4" x14ac:dyDescent="0.3">
      <c r="B20">
        <v>63</v>
      </c>
      <c r="C20">
        <v>63</v>
      </c>
      <c r="D20">
        <v>63</v>
      </c>
    </row>
    <row r="21" spans="2:4" x14ac:dyDescent="0.3">
      <c r="B21">
        <v>64</v>
      </c>
      <c r="C21">
        <v>64</v>
      </c>
      <c r="D21">
        <v>64</v>
      </c>
    </row>
    <row r="22" spans="2:4" x14ac:dyDescent="0.3">
      <c r="B22">
        <v>66</v>
      </c>
      <c r="C22">
        <v>66</v>
      </c>
      <c r="D22">
        <v>66</v>
      </c>
    </row>
    <row r="23" spans="2:4" x14ac:dyDescent="0.3">
      <c r="B23">
        <v>68</v>
      </c>
      <c r="C23">
        <v>68</v>
      </c>
      <c r="D23">
        <v>68</v>
      </c>
    </row>
    <row r="24" spans="2:4" x14ac:dyDescent="0.3">
      <c r="B24">
        <v>68</v>
      </c>
      <c r="C24">
        <v>68</v>
      </c>
      <c r="D24">
        <v>68</v>
      </c>
    </row>
    <row r="25" spans="2:4" x14ac:dyDescent="0.3">
      <c r="B25">
        <v>68</v>
      </c>
      <c r="C25">
        <v>68</v>
      </c>
      <c r="D25">
        <v>68</v>
      </c>
    </row>
    <row r="26" spans="2:4" x14ac:dyDescent="0.3">
      <c r="B26">
        <v>68</v>
      </c>
      <c r="C26">
        <v>68</v>
      </c>
      <c r="D26">
        <v>68</v>
      </c>
    </row>
    <row r="27" spans="2:4" x14ac:dyDescent="0.3">
      <c r="B27">
        <v>68</v>
      </c>
      <c r="C27">
        <v>68</v>
      </c>
      <c r="D27">
        <v>68</v>
      </c>
    </row>
    <row r="28" spans="2:4" x14ac:dyDescent="0.3">
      <c r="B28">
        <v>69</v>
      </c>
      <c r="C28">
        <v>69</v>
      </c>
      <c r="D28">
        <v>69</v>
      </c>
    </row>
    <row r="29" spans="2:4" x14ac:dyDescent="0.3">
      <c r="B29">
        <v>69</v>
      </c>
      <c r="C29">
        <v>69</v>
      </c>
      <c r="D29">
        <v>69</v>
      </c>
    </row>
    <row r="30" spans="2:4" x14ac:dyDescent="0.3">
      <c r="B30">
        <v>70</v>
      </c>
      <c r="C30">
        <v>70</v>
      </c>
      <c r="D30">
        <v>70</v>
      </c>
    </row>
    <row r="31" spans="2:4" x14ac:dyDescent="0.3">
      <c r="B31">
        <v>70</v>
      </c>
      <c r="C31">
        <v>70</v>
      </c>
      <c r="D31">
        <v>70</v>
      </c>
    </row>
    <row r="32" spans="2:4" x14ac:dyDescent="0.3">
      <c r="B32">
        <v>71</v>
      </c>
      <c r="C32">
        <v>71</v>
      </c>
      <c r="D32">
        <v>71</v>
      </c>
    </row>
    <row r="33" spans="2:4" x14ac:dyDescent="0.3">
      <c r="B33">
        <v>72</v>
      </c>
      <c r="C33">
        <v>72</v>
      </c>
      <c r="D33">
        <v>72</v>
      </c>
    </row>
    <row r="34" spans="2:4" x14ac:dyDescent="0.3">
      <c r="B34">
        <v>72</v>
      </c>
      <c r="C34">
        <v>72</v>
      </c>
      <c r="D34">
        <v>72</v>
      </c>
    </row>
    <row r="35" spans="2:4" x14ac:dyDescent="0.3">
      <c r="B35">
        <v>73</v>
      </c>
      <c r="C35">
        <v>73</v>
      </c>
      <c r="D35">
        <v>73</v>
      </c>
    </row>
    <row r="36" spans="2:4" x14ac:dyDescent="0.3">
      <c r="B36">
        <v>74</v>
      </c>
      <c r="C36">
        <v>74</v>
      </c>
      <c r="D36">
        <v>74</v>
      </c>
    </row>
    <row r="37" spans="2:4" x14ac:dyDescent="0.3">
      <c r="B37">
        <v>75</v>
      </c>
      <c r="C37">
        <v>75</v>
      </c>
      <c r="D37">
        <v>75</v>
      </c>
    </row>
    <row r="38" spans="2:4" x14ac:dyDescent="0.3">
      <c r="B38">
        <v>76</v>
      </c>
      <c r="C38">
        <v>76</v>
      </c>
      <c r="D38">
        <v>76</v>
      </c>
    </row>
    <row r="39" spans="2:4" x14ac:dyDescent="0.3">
      <c r="B39">
        <v>76</v>
      </c>
      <c r="C39">
        <v>76</v>
      </c>
      <c r="D39">
        <v>76</v>
      </c>
    </row>
    <row r="40" spans="2:4" x14ac:dyDescent="0.3">
      <c r="B40">
        <v>77</v>
      </c>
      <c r="C40">
        <v>77</v>
      </c>
      <c r="D40">
        <v>77</v>
      </c>
    </row>
    <row r="41" spans="2:4" x14ac:dyDescent="0.3">
      <c r="B41">
        <v>78</v>
      </c>
      <c r="C41">
        <v>78</v>
      </c>
      <c r="D41">
        <v>78</v>
      </c>
    </row>
    <row r="42" spans="2:4" x14ac:dyDescent="0.3">
      <c r="B42">
        <v>78</v>
      </c>
      <c r="C42">
        <v>78</v>
      </c>
      <c r="D42">
        <v>78</v>
      </c>
    </row>
    <row r="43" spans="2:4" x14ac:dyDescent="0.3">
      <c r="B43">
        <v>79</v>
      </c>
      <c r="C43">
        <v>79</v>
      </c>
      <c r="D43">
        <v>79</v>
      </c>
    </row>
    <row r="44" spans="2:4" x14ac:dyDescent="0.3">
      <c r="B44">
        <v>80</v>
      </c>
      <c r="C44">
        <v>80</v>
      </c>
      <c r="D44">
        <v>80</v>
      </c>
    </row>
    <row r="45" spans="2:4" x14ac:dyDescent="0.3">
      <c r="B45">
        <v>80</v>
      </c>
      <c r="C45">
        <v>80</v>
      </c>
      <c r="D45">
        <v>80</v>
      </c>
    </row>
    <row r="46" spans="2:4" x14ac:dyDescent="0.3">
      <c r="B46">
        <v>80</v>
      </c>
      <c r="C46">
        <v>80</v>
      </c>
      <c r="D46">
        <v>80</v>
      </c>
    </row>
    <row r="47" spans="2:4" x14ac:dyDescent="0.3">
      <c r="B47">
        <v>83</v>
      </c>
      <c r="C47">
        <v>83</v>
      </c>
      <c r="D47">
        <v>83</v>
      </c>
    </row>
    <row r="48" spans="2:4" x14ac:dyDescent="0.3">
      <c r="B48">
        <v>83</v>
      </c>
      <c r="C48">
        <v>83</v>
      </c>
      <c r="D48">
        <v>83</v>
      </c>
    </row>
    <row r="49" spans="2:4" x14ac:dyDescent="0.3">
      <c r="B49">
        <v>84</v>
      </c>
      <c r="C49">
        <v>84</v>
      </c>
      <c r="D49">
        <v>84</v>
      </c>
    </row>
    <row r="50" spans="2:4" x14ac:dyDescent="0.3">
      <c r="B50">
        <v>84</v>
      </c>
      <c r="C50">
        <v>84</v>
      </c>
      <c r="D50">
        <v>84</v>
      </c>
    </row>
    <row r="51" spans="2:4" x14ac:dyDescent="0.3">
      <c r="B51">
        <v>84</v>
      </c>
      <c r="C51">
        <v>84</v>
      </c>
      <c r="D51">
        <v>84</v>
      </c>
    </row>
    <row r="52" spans="2:4" x14ac:dyDescent="0.3">
      <c r="B52">
        <v>85</v>
      </c>
      <c r="C52">
        <v>85</v>
      </c>
      <c r="D52">
        <v>85</v>
      </c>
    </row>
    <row r="53" spans="2:4" x14ac:dyDescent="0.3">
      <c r="B53">
        <v>85</v>
      </c>
      <c r="C53">
        <v>85</v>
      </c>
      <c r="D53">
        <v>85</v>
      </c>
    </row>
    <row r="54" spans="2:4" x14ac:dyDescent="0.3">
      <c r="B54">
        <v>85</v>
      </c>
      <c r="C54">
        <v>85</v>
      </c>
      <c r="D54">
        <v>85</v>
      </c>
    </row>
    <row r="55" spans="2:4" x14ac:dyDescent="0.3">
      <c r="B55">
        <v>86</v>
      </c>
      <c r="C55">
        <v>86</v>
      </c>
      <c r="D55">
        <v>86</v>
      </c>
    </row>
    <row r="56" spans="2:4" x14ac:dyDescent="0.3">
      <c r="B56">
        <v>86</v>
      </c>
      <c r="C56">
        <v>86</v>
      </c>
      <c r="D56">
        <v>86</v>
      </c>
    </row>
    <row r="57" spans="2:4" x14ac:dyDescent="0.3">
      <c r="B57">
        <v>87</v>
      </c>
      <c r="C57">
        <v>87</v>
      </c>
      <c r="D57">
        <v>87</v>
      </c>
    </row>
    <row r="58" spans="2:4" x14ac:dyDescent="0.3">
      <c r="B58">
        <v>88</v>
      </c>
      <c r="C58">
        <v>88</v>
      </c>
      <c r="D58">
        <v>88</v>
      </c>
    </row>
    <row r="59" spans="2:4" x14ac:dyDescent="0.3">
      <c r="B59">
        <v>88</v>
      </c>
      <c r="C59">
        <v>88</v>
      </c>
      <c r="D59">
        <v>88</v>
      </c>
    </row>
    <row r="60" spans="2:4" x14ac:dyDescent="0.3">
      <c r="B60">
        <v>88</v>
      </c>
      <c r="C60">
        <v>88</v>
      </c>
      <c r="D60">
        <v>88</v>
      </c>
    </row>
    <row r="61" spans="2:4" x14ac:dyDescent="0.3">
      <c r="B61">
        <v>89</v>
      </c>
      <c r="C61">
        <v>89</v>
      </c>
      <c r="D61">
        <v>89</v>
      </c>
    </row>
    <row r="62" spans="2:4" x14ac:dyDescent="0.3">
      <c r="B62">
        <v>90</v>
      </c>
      <c r="C62">
        <v>90</v>
      </c>
      <c r="D62">
        <v>90</v>
      </c>
    </row>
    <row r="63" spans="2:4" x14ac:dyDescent="0.3">
      <c r="B63">
        <v>90</v>
      </c>
      <c r="C63">
        <v>90</v>
      </c>
      <c r="D63">
        <v>90</v>
      </c>
    </row>
    <row r="64" spans="2:4" x14ac:dyDescent="0.3">
      <c r="B64">
        <v>91</v>
      </c>
      <c r="C64">
        <v>91</v>
      </c>
      <c r="D64">
        <v>91</v>
      </c>
    </row>
    <row r="65" spans="2:4" x14ac:dyDescent="0.3">
      <c r="B65">
        <v>91</v>
      </c>
      <c r="C65">
        <v>91</v>
      </c>
      <c r="D65">
        <v>91</v>
      </c>
    </row>
    <row r="66" spans="2:4" x14ac:dyDescent="0.3">
      <c r="B66">
        <v>91</v>
      </c>
      <c r="C66">
        <v>91</v>
      </c>
      <c r="D66">
        <v>91</v>
      </c>
    </row>
    <row r="67" spans="2:4" x14ac:dyDescent="0.3">
      <c r="B67">
        <v>92</v>
      </c>
      <c r="C67">
        <v>92</v>
      </c>
      <c r="D67">
        <v>92</v>
      </c>
    </row>
    <row r="68" spans="2:4" x14ac:dyDescent="0.3">
      <c r="B68">
        <v>93</v>
      </c>
      <c r="C68">
        <v>93</v>
      </c>
      <c r="D68">
        <v>93</v>
      </c>
    </row>
    <row r="69" spans="2:4" x14ac:dyDescent="0.3">
      <c r="B69">
        <v>93</v>
      </c>
      <c r="C69">
        <v>93</v>
      </c>
      <c r="D69">
        <v>93</v>
      </c>
    </row>
    <row r="70" spans="2:4" x14ac:dyDescent="0.3">
      <c r="B70">
        <v>94</v>
      </c>
      <c r="C70">
        <v>94</v>
      </c>
      <c r="D70">
        <v>94</v>
      </c>
    </row>
    <row r="71" spans="2:4" x14ac:dyDescent="0.3">
      <c r="B71">
        <v>94</v>
      </c>
      <c r="C71">
        <v>94</v>
      </c>
      <c r="D71">
        <v>94</v>
      </c>
    </row>
    <row r="72" spans="2:4" x14ac:dyDescent="0.3">
      <c r="B72">
        <v>95</v>
      </c>
      <c r="C72">
        <v>95</v>
      </c>
      <c r="D72">
        <v>95</v>
      </c>
    </row>
    <row r="73" spans="2:4" x14ac:dyDescent="0.3">
      <c r="B73">
        <v>95</v>
      </c>
      <c r="C73">
        <v>95</v>
      </c>
      <c r="D73">
        <v>95</v>
      </c>
    </row>
    <row r="74" spans="2:4" x14ac:dyDescent="0.3">
      <c r="B74">
        <v>96</v>
      </c>
      <c r="C74">
        <v>96</v>
      </c>
      <c r="D74">
        <v>96</v>
      </c>
    </row>
    <row r="75" spans="2:4" x14ac:dyDescent="0.3">
      <c r="B75">
        <v>96</v>
      </c>
      <c r="C75">
        <v>96</v>
      </c>
      <c r="D75">
        <v>96</v>
      </c>
    </row>
    <row r="76" spans="2:4" x14ac:dyDescent="0.3">
      <c r="B76">
        <v>97</v>
      </c>
      <c r="C76">
        <v>97</v>
      </c>
      <c r="D76">
        <v>97</v>
      </c>
    </row>
    <row r="77" spans="2:4" x14ac:dyDescent="0.3">
      <c r="B77">
        <v>98</v>
      </c>
      <c r="C77">
        <v>98</v>
      </c>
      <c r="D77">
        <v>98</v>
      </c>
    </row>
    <row r="78" spans="2:4" x14ac:dyDescent="0.3">
      <c r="B78">
        <v>98</v>
      </c>
      <c r="C78">
        <v>98</v>
      </c>
      <c r="D78">
        <v>98</v>
      </c>
    </row>
    <row r="79" spans="2:4" x14ac:dyDescent="0.3">
      <c r="B79">
        <v>99</v>
      </c>
      <c r="C79">
        <v>99</v>
      </c>
      <c r="D79">
        <v>99</v>
      </c>
    </row>
    <row r="80" spans="2:4" x14ac:dyDescent="0.3">
      <c r="B80">
        <v>99</v>
      </c>
      <c r="C80">
        <v>99</v>
      </c>
      <c r="D80">
        <v>99</v>
      </c>
    </row>
    <row r="81" spans="2:4" x14ac:dyDescent="0.3">
      <c r="B81">
        <v>100</v>
      </c>
      <c r="C81">
        <v>100</v>
      </c>
      <c r="D81">
        <v>100</v>
      </c>
    </row>
    <row r="82" spans="2:4" x14ac:dyDescent="0.3">
      <c r="B82">
        <v>100</v>
      </c>
      <c r="C82">
        <v>100</v>
      </c>
      <c r="D82">
        <v>100</v>
      </c>
    </row>
    <row r="83" spans="2:4" x14ac:dyDescent="0.3">
      <c r="B83">
        <v>101</v>
      </c>
      <c r="C83">
        <v>101</v>
      </c>
      <c r="D83">
        <v>101</v>
      </c>
    </row>
    <row r="84" spans="2:4" x14ac:dyDescent="0.3">
      <c r="B84">
        <v>101</v>
      </c>
      <c r="C84">
        <v>101</v>
      </c>
      <c r="D84">
        <v>101</v>
      </c>
    </row>
    <row r="85" spans="2:4" x14ac:dyDescent="0.3">
      <c r="B85">
        <v>101</v>
      </c>
      <c r="C85">
        <v>101</v>
      </c>
      <c r="D85">
        <v>101</v>
      </c>
    </row>
    <row r="86" spans="2:4" x14ac:dyDescent="0.3">
      <c r="B86">
        <v>102</v>
      </c>
      <c r="C86">
        <v>102</v>
      </c>
      <c r="D86">
        <v>102</v>
      </c>
    </row>
    <row r="87" spans="2:4" x14ac:dyDescent="0.3">
      <c r="B87">
        <v>102</v>
      </c>
      <c r="C87">
        <v>102</v>
      </c>
      <c r="D87">
        <v>102</v>
      </c>
    </row>
    <row r="88" spans="2:4" x14ac:dyDescent="0.3">
      <c r="B88">
        <v>103</v>
      </c>
      <c r="C88">
        <v>103</v>
      </c>
      <c r="D88">
        <v>103</v>
      </c>
    </row>
    <row r="89" spans="2:4" x14ac:dyDescent="0.3">
      <c r="B89">
        <v>104</v>
      </c>
      <c r="C89">
        <v>104</v>
      </c>
      <c r="D89">
        <v>104</v>
      </c>
    </row>
    <row r="90" spans="2:4" x14ac:dyDescent="0.3">
      <c r="B90">
        <v>104</v>
      </c>
      <c r="C90">
        <v>104</v>
      </c>
      <c r="D90">
        <v>104</v>
      </c>
    </row>
    <row r="91" spans="2:4" x14ac:dyDescent="0.3">
      <c r="B91">
        <v>105</v>
      </c>
      <c r="C91">
        <v>105</v>
      </c>
      <c r="D91">
        <v>105</v>
      </c>
    </row>
    <row r="92" spans="2:4" x14ac:dyDescent="0.3">
      <c r="B92">
        <v>106</v>
      </c>
      <c r="C92">
        <v>106</v>
      </c>
      <c r="D92">
        <v>106</v>
      </c>
    </row>
    <row r="93" spans="2:4" x14ac:dyDescent="0.3">
      <c r="B93">
        <v>106</v>
      </c>
      <c r="C93">
        <v>106</v>
      </c>
      <c r="D93">
        <v>106</v>
      </c>
    </row>
    <row r="94" spans="2:4" x14ac:dyDescent="0.3">
      <c r="B94">
        <v>107</v>
      </c>
      <c r="C94">
        <v>107</v>
      </c>
      <c r="D94">
        <v>107</v>
      </c>
    </row>
    <row r="95" spans="2:4" x14ac:dyDescent="0.3">
      <c r="B95">
        <v>108</v>
      </c>
      <c r="C95">
        <v>108</v>
      </c>
      <c r="D95">
        <v>108</v>
      </c>
    </row>
    <row r="96" spans="2:4" x14ac:dyDescent="0.3">
      <c r="B96">
        <v>108</v>
      </c>
      <c r="C96">
        <v>108</v>
      </c>
      <c r="D96">
        <v>108</v>
      </c>
    </row>
    <row r="97" spans="2:4" x14ac:dyDescent="0.3">
      <c r="B97">
        <v>109</v>
      </c>
      <c r="C97">
        <v>109</v>
      </c>
      <c r="D97">
        <v>109</v>
      </c>
    </row>
    <row r="98" spans="2:4" x14ac:dyDescent="0.3">
      <c r="B98">
        <v>110</v>
      </c>
      <c r="C98">
        <v>110</v>
      </c>
      <c r="D98">
        <v>110</v>
      </c>
    </row>
    <row r="99" spans="2:4" x14ac:dyDescent="0.3">
      <c r="B99">
        <v>111</v>
      </c>
      <c r="C99">
        <v>111</v>
      </c>
      <c r="D99">
        <v>111</v>
      </c>
    </row>
    <row r="100" spans="2:4" x14ac:dyDescent="0.3">
      <c r="B100">
        <v>112</v>
      </c>
      <c r="C100">
        <v>112</v>
      </c>
      <c r="D100">
        <v>112</v>
      </c>
    </row>
    <row r="101" spans="2:4" x14ac:dyDescent="0.3">
      <c r="B101">
        <v>112</v>
      </c>
      <c r="C101">
        <v>112</v>
      </c>
      <c r="D101">
        <v>112</v>
      </c>
    </row>
    <row r="102" spans="2:4" x14ac:dyDescent="0.3">
      <c r="B102">
        <v>113</v>
      </c>
      <c r="C102">
        <v>113</v>
      </c>
      <c r="D102">
        <v>113</v>
      </c>
    </row>
    <row r="103" spans="2:4" x14ac:dyDescent="0.3">
      <c r="B103">
        <v>113</v>
      </c>
      <c r="C103">
        <v>113</v>
      </c>
      <c r="D103">
        <v>113</v>
      </c>
    </row>
    <row r="104" spans="2:4" x14ac:dyDescent="0.3">
      <c r="B104">
        <v>114</v>
      </c>
      <c r="C104">
        <v>114</v>
      </c>
      <c r="D104">
        <v>114</v>
      </c>
    </row>
    <row r="105" spans="2:4" x14ac:dyDescent="0.3">
      <c r="B105">
        <v>114</v>
      </c>
      <c r="C105">
        <v>114</v>
      </c>
      <c r="D105">
        <v>114</v>
      </c>
    </row>
    <row r="106" spans="2:4" x14ac:dyDescent="0.3">
      <c r="B106">
        <v>118</v>
      </c>
      <c r="C106">
        <v>118</v>
      </c>
      <c r="D106">
        <v>118</v>
      </c>
    </row>
    <row r="107" spans="2:4" x14ac:dyDescent="0.3">
      <c r="B107">
        <v>118</v>
      </c>
      <c r="C107">
        <v>118</v>
      </c>
      <c r="D107">
        <v>118</v>
      </c>
    </row>
    <row r="108" spans="2:4" x14ac:dyDescent="0.3">
      <c r="B108">
        <v>118</v>
      </c>
      <c r="C108">
        <v>118</v>
      </c>
      <c r="D108">
        <v>118</v>
      </c>
    </row>
    <row r="109" spans="2:4" x14ac:dyDescent="0.3">
      <c r="B109">
        <v>118</v>
      </c>
      <c r="C109">
        <v>118</v>
      </c>
      <c r="D109">
        <v>118</v>
      </c>
    </row>
    <row r="110" spans="2:4" x14ac:dyDescent="0.3">
      <c r="B110">
        <v>119</v>
      </c>
      <c r="C110">
        <v>119</v>
      </c>
      <c r="D110">
        <v>119</v>
      </c>
    </row>
    <row r="111" spans="2:4" x14ac:dyDescent="0.3">
      <c r="B111">
        <v>121</v>
      </c>
      <c r="C111">
        <v>121</v>
      </c>
      <c r="D111">
        <v>121</v>
      </c>
    </row>
    <row r="112" spans="2:4" x14ac:dyDescent="0.3">
      <c r="B112">
        <v>122</v>
      </c>
      <c r="C112">
        <v>122</v>
      </c>
      <c r="D112">
        <v>122</v>
      </c>
    </row>
    <row r="113" spans="2:4" x14ac:dyDescent="0.3">
      <c r="B113">
        <v>123</v>
      </c>
      <c r="C113">
        <v>123</v>
      </c>
      <c r="D113">
        <v>123</v>
      </c>
    </row>
    <row r="114" spans="2:4" x14ac:dyDescent="0.3">
      <c r="B114">
        <v>124</v>
      </c>
      <c r="C114">
        <v>124</v>
      </c>
      <c r="D114">
        <v>124</v>
      </c>
    </row>
    <row r="115" spans="2:4" x14ac:dyDescent="0.3">
      <c r="B115">
        <v>125</v>
      </c>
      <c r="C115">
        <v>125</v>
      </c>
      <c r="D115">
        <v>125</v>
      </c>
    </row>
    <row r="116" spans="2:4" x14ac:dyDescent="0.3">
      <c r="B116">
        <v>126</v>
      </c>
      <c r="C116">
        <v>126</v>
      </c>
      <c r="D116">
        <v>126</v>
      </c>
    </row>
    <row r="117" spans="2:4" x14ac:dyDescent="0.3">
      <c r="B117">
        <v>126</v>
      </c>
      <c r="C117">
        <v>126</v>
      </c>
      <c r="D117">
        <v>126</v>
      </c>
    </row>
    <row r="118" spans="2:4" x14ac:dyDescent="0.3">
      <c r="B118">
        <v>128</v>
      </c>
      <c r="C118">
        <v>128</v>
      </c>
      <c r="D118">
        <v>128</v>
      </c>
    </row>
    <row r="119" spans="2:4" x14ac:dyDescent="0.3">
      <c r="B119">
        <v>130</v>
      </c>
      <c r="C119">
        <v>130</v>
      </c>
      <c r="D119">
        <v>130</v>
      </c>
    </row>
    <row r="120" spans="2:4" x14ac:dyDescent="0.3">
      <c r="B120">
        <v>131</v>
      </c>
      <c r="C120">
        <v>131</v>
      </c>
      <c r="D120">
        <v>131</v>
      </c>
    </row>
    <row r="121" spans="2:4" x14ac:dyDescent="0.3">
      <c r="B121">
        <v>133</v>
      </c>
      <c r="C121">
        <v>133</v>
      </c>
      <c r="D121">
        <v>133</v>
      </c>
    </row>
    <row r="122" spans="2:4" x14ac:dyDescent="0.3">
      <c r="B122">
        <v>133</v>
      </c>
      <c r="C122">
        <v>133</v>
      </c>
      <c r="D122">
        <v>133</v>
      </c>
    </row>
    <row r="123" spans="2:4" x14ac:dyDescent="0.3">
      <c r="B123">
        <v>133</v>
      </c>
      <c r="C123">
        <v>133</v>
      </c>
      <c r="D123">
        <v>133</v>
      </c>
    </row>
    <row r="124" spans="2:4" x14ac:dyDescent="0.3">
      <c r="B124">
        <v>134</v>
      </c>
      <c r="C124">
        <v>134</v>
      </c>
      <c r="D124">
        <v>134</v>
      </c>
    </row>
    <row r="125" spans="2:4" x14ac:dyDescent="0.3">
      <c r="B125">
        <v>135</v>
      </c>
      <c r="C125">
        <v>135</v>
      </c>
      <c r="D125">
        <v>135</v>
      </c>
    </row>
    <row r="126" spans="2:4" x14ac:dyDescent="0.3">
      <c r="B126">
        <v>135</v>
      </c>
      <c r="C126">
        <v>135</v>
      </c>
      <c r="D126">
        <v>135</v>
      </c>
    </row>
    <row r="127" spans="2:4" x14ac:dyDescent="0.3">
      <c r="B127">
        <v>137</v>
      </c>
      <c r="C127">
        <v>137</v>
      </c>
      <c r="D127">
        <v>137</v>
      </c>
    </row>
    <row r="128" spans="2:4" x14ac:dyDescent="0.3">
      <c r="B128">
        <v>137</v>
      </c>
      <c r="C128">
        <v>137</v>
      </c>
      <c r="D128">
        <v>137</v>
      </c>
    </row>
    <row r="129" spans="2:4" x14ac:dyDescent="0.3">
      <c r="B129">
        <v>137</v>
      </c>
      <c r="C129">
        <v>137</v>
      </c>
      <c r="D129">
        <v>137</v>
      </c>
    </row>
    <row r="130" spans="2:4" x14ac:dyDescent="0.3">
      <c r="B130">
        <v>140</v>
      </c>
      <c r="C130">
        <v>140</v>
      </c>
      <c r="D130">
        <v>140</v>
      </c>
    </row>
    <row r="131" spans="2:4" x14ac:dyDescent="0.3">
      <c r="B131">
        <v>140</v>
      </c>
      <c r="C131">
        <v>140</v>
      </c>
      <c r="D131">
        <v>140</v>
      </c>
    </row>
    <row r="132" spans="2:4" x14ac:dyDescent="0.3">
      <c r="B132">
        <v>142</v>
      </c>
      <c r="C132">
        <v>142</v>
      </c>
      <c r="D132">
        <v>142</v>
      </c>
    </row>
    <row r="133" spans="2:4" x14ac:dyDescent="0.3">
      <c r="B133">
        <v>143</v>
      </c>
      <c r="C133">
        <v>143</v>
      </c>
      <c r="D133">
        <v>143</v>
      </c>
    </row>
    <row r="134" spans="2:4" x14ac:dyDescent="0.3">
      <c r="B134">
        <v>143</v>
      </c>
      <c r="C134">
        <v>143</v>
      </c>
      <c r="D134">
        <v>143</v>
      </c>
    </row>
    <row r="135" spans="2:4" x14ac:dyDescent="0.3">
      <c r="B135">
        <v>145</v>
      </c>
      <c r="C135">
        <v>145</v>
      </c>
      <c r="D135">
        <v>145</v>
      </c>
    </row>
    <row r="136" spans="2:4" x14ac:dyDescent="0.3">
      <c r="B136">
        <v>146</v>
      </c>
      <c r="C136">
        <v>146</v>
      </c>
      <c r="D136">
        <v>146</v>
      </c>
    </row>
    <row r="137" spans="2:4" x14ac:dyDescent="0.3">
      <c r="B137">
        <v>149</v>
      </c>
      <c r="C137">
        <v>149</v>
      </c>
      <c r="D137">
        <v>149</v>
      </c>
    </row>
    <row r="138" spans="2:4" x14ac:dyDescent="0.3">
      <c r="B138">
        <v>151</v>
      </c>
      <c r="C138">
        <v>151</v>
      </c>
      <c r="D138">
        <v>151</v>
      </c>
    </row>
    <row r="139" spans="2:4" x14ac:dyDescent="0.3">
      <c r="B139">
        <v>152</v>
      </c>
      <c r="C139">
        <v>152</v>
      </c>
      <c r="D139">
        <v>152</v>
      </c>
    </row>
    <row r="140" spans="2:4" x14ac:dyDescent="0.3">
      <c r="B140">
        <v>154</v>
      </c>
      <c r="C140">
        <v>154</v>
      </c>
      <c r="D140">
        <v>154</v>
      </c>
    </row>
    <row r="141" spans="2:4" x14ac:dyDescent="0.3">
      <c r="B141">
        <v>154</v>
      </c>
      <c r="C141">
        <v>154</v>
      </c>
      <c r="D141">
        <v>154</v>
      </c>
    </row>
    <row r="142" spans="2:4" x14ac:dyDescent="0.3">
      <c r="B142">
        <v>155</v>
      </c>
      <c r="C142">
        <v>155</v>
      </c>
      <c r="D142">
        <v>155</v>
      </c>
    </row>
    <row r="143" spans="2:4" x14ac:dyDescent="0.3">
      <c r="B143">
        <v>155</v>
      </c>
      <c r="C143">
        <v>155</v>
      </c>
      <c r="D143">
        <v>155</v>
      </c>
    </row>
    <row r="144" spans="2:4" x14ac:dyDescent="0.3">
      <c r="B144">
        <v>156</v>
      </c>
      <c r="C144">
        <v>156</v>
      </c>
      <c r="D144">
        <v>156</v>
      </c>
    </row>
    <row r="145" spans="2:4" x14ac:dyDescent="0.3">
      <c r="B145">
        <v>157</v>
      </c>
      <c r="C145">
        <v>157</v>
      </c>
      <c r="D145">
        <v>157</v>
      </c>
    </row>
    <row r="146" spans="2:4" x14ac:dyDescent="0.3">
      <c r="B146">
        <v>158</v>
      </c>
      <c r="C146">
        <v>158</v>
      </c>
      <c r="D146">
        <v>158</v>
      </c>
    </row>
    <row r="147" spans="2:4" x14ac:dyDescent="0.3">
      <c r="B147">
        <v>158</v>
      </c>
      <c r="C147">
        <v>158</v>
      </c>
      <c r="D147">
        <v>158</v>
      </c>
    </row>
    <row r="148" spans="2:4" x14ac:dyDescent="0.3">
      <c r="B148">
        <v>165</v>
      </c>
      <c r="C148">
        <v>165</v>
      </c>
      <c r="D148">
        <v>165</v>
      </c>
    </row>
    <row r="149" spans="2:4" x14ac:dyDescent="0.3">
      <c r="B149">
        <v>166</v>
      </c>
      <c r="C149">
        <v>166</v>
      </c>
      <c r="D149">
        <v>166</v>
      </c>
    </row>
    <row r="150" spans="2:4" x14ac:dyDescent="0.3">
      <c r="B150">
        <v>166</v>
      </c>
      <c r="C150">
        <v>166</v>
      </c>
      <c r="D150">
        <v>166</v>
      </c>
    </row>
    <row r="151" spans="2:4" x14ac:dyDescent="0.3">
      <c r="B151">
        <v>168</v>
      </c>
      <c r="C151">
        <v>168</v>
      </c>
      <c r="D151">
        <v>168</v>
      </c>
    </row>
    <row r="152" spans="2:4" x14ac:dyDescent="0.3">
      <c r="B152">
        <v>168</v>
      </c>
      <c r="C152">
        <v>168</v>
      </c>
      <c r="D152">
        <v>168</v>
      </c>
    </row>
    <row r="153" spans="2:4" x14ac:dyDescent="0.3">
      <c r="B153">
        <v>171</v>
      </c>
      <c r="C153">
        <v>171</v>
      </c>
      <c r="D153">
        <v>171</v>
      </c>
    </row>
    <row r="154" spans="2:4" x14ac:dyDescent="0.3">
      <c r="B154">
        <v>171</v>
      </c>
      <c r="C154">
        <v>171</v>
      </c>
      <c r="D154">
        <v>171</v>
      </c>
    </row>
    <row r="155" spans="2:4" x14ac:dyDescent="0.3">
      <c r="B155">
        <v>172</v>
      </c>
      <c r="C155">
        <v>172</v>
      </c>
      <c r="D155">
        <v>172</v>
      </c>
    </row>
    <row r="156" spans="2:4" x14ac:dyDescent="0.3">
      <c r="B156">
        <v>174</v>
      </c>
      <c r="C156">
        <v>174</v>
      </c>
      <c r="D156">
        <v>174</v>
      </c>
    </row>
    <row r="157" spans="2:4" x14ac:dyDescent="0.3">
      <c r="B157">
        <v>174</v>
      </c>
      <c r="C157">
        <v>174</v>
      </c>
      <c r="D157">
        <v>174</v>
      </c>
    </row>
    <row r="158" spans="2:4" x14ac:dyDescent="0.3">
      <c r="B158">
        <v>175</v>
      </c>
      <c r="C158">
        <v>175</v>
      </c>
      <c r="D158">
        <v>175</v>
      </c>
    </row>
    <row r="159" spans="2:4" x14ac:dyDescent="0.3">
      <c r="B159">
        <v>178</v>
      </c>
      <c r="C159">
        <v>178</v>
      </c>
      <c r="D159">
        <v>178</v>
      </c>
    </row>
    <row r="160" spans="2:4" x14ac:dyDescent="0.3">
      <c r="B160">
        <v>180</v>
      </c>
      <c r="C160">
        <v>180</v>
      </c>
      <c r="D160">
        <v>180</v>
      </c>
    </row>
    <row r="161" spans="2:4" x14ac:dyDescent="0.3">
      <c r="B161">
        <v>184</v>
      </c>
      <c r="C161">
        <v>184</v>
      </c>
      <c r="D161">
        <v>184</v>
      </c>
    </row>
    <row r="162" spans="2:4" x14ac:dyDescent="0.3">
      <c r="B162">
        <v>185</v>
      </c>
      <c r="C162">
        <v>185</v>
      </c>
      <c r="D162">
        <v>185</v>
      </c>
    </row>
    <row r="163" spans="2:4" x14ac:dyDescent="0.3">
      <c r="B163">
        <v>188</v>
      </c>
      <c r="C163">
        <v>188</v>
      </c>
      <c r="D163">
        <v>188</v>
      </c>
    </row>
    <row r="164" spans="2:4" x14ac:dyDescent="0.3">
      <c r="B164">
        <v>188</v>
      </c>
      <c r="C164">
        <v>188</v>
      </c>
      <c r="D164">
        <v>188</v>
      </c>
    </row>
    <row r="165" spans="2:4" x14ac:dyDescent="0.3">
      <c r="B165">
        <v>189</v>
      </c>
      <c r="C165">
        <v>189</v>
      </c>
      <c r="D165">
        <v>189</v>
      </c>
    </row>
    <row r="166" spans="2:4" x14ac:dyDescent="0.3">
      <c r="B166">
        <v>191</v>
      </c>
      <c r="C166">
        <v>191</v>
      </c>
      <c r="D166">
        <v>191</v>
      </c>
    </row>
    <row r="167" spans="2:4" x14ac:dyDescent="0.3">
      <c r="B167">
        <v>195</v>
      </c>
      <c r="C167">
        <v>195</v>
      </c>
      <c r="D167">
        <v>195</v>
      </c>
    </row>
    <row r="168" spans="2:4" x14ac:dyDescent="0.3">
      <c r="B168">
        <v>200</v>
      </c>
      <c r="C168">
        <v>200</v>
      </c>
      <c r="D168">
        <v>200</v>
      </c>
    </row>
    <row r="169" spans="2:4" x14ac:dyDescent="0.3">
      <c r="B169">
        <v>205</v>
      </c>
      <c r="C169">
        <v>205</v>
      </c>
      <c r="D169">
        <v>205</v>
      </c>
    </row>
    <row r="170" spans="2:4" x14ac:dyDescent="0.3">
      <c r="B170">
        <v>206</v>
      </c>
      <c r="C170">
        <v>206</v>
      </c>
      <c r="D170">
        <v>206</v>
      </c>
    </row>
    <row r="171" spans="2:4" x14ac:dyDescent="0.3">
      <c r="B171">
        <v>210</v>
      </c>
      <c r="C171">
        <v>210</v>
      </c>
      <c r="D171">
        <v>210</v>
      </c>
    </row>
    <row r="172" spans="2:4" x14ac:dyDescent="0.3">
      <c r="B172">
        <v>210</v>
      </c>
      <c r="C172">
        <v>210</v>
      </c>
      <c r="D172">
        <v>210</v>
      </c>
    </row>
    <row r="173" spans="2:4" x14ac:dyDescent="0.3">
      <c r="B173">
        <v>213</v>
      </c>
      <c r="C173">
        <v>213</v>
      </c>
      <c r="D173">
        <v>213</v>
      </c>
    </row>
    <row r="174" spans="2:4" x14ac:dyDescent="0.3">
      <c r="B174">
        <v>218</v>
      </c>
      <c r="C174">
        <v>218</v>
      </c>
      <c r="D174">
        <v>218</v>
      </c>
    </row>
    <row r="175" spans="2:4" x14ac:dyDescent="0.3">
      <c r="B175">
        <v>219</v>
      </c>
      <c r="C175">
        <v>219</v>
      </c>
      <c r="D175">
        <v>219</v>
      </c>
    </row>
    <row r="176" spans="2:4" x14ac:dyDescent="0.3">
      <c r="B176">
        <v>224</v>
      </c>
      <c r="C176">
        <v>224</v>
      </c>
      <c r="D176">
        <v>224</v>
      </c>
    </row>
    <row r="177" spans="2:4" x14ac:dyDescent="0.3">
      <c r="B177">
        <v>230</v>
      </c>
      <c r="C177">
        <v>230</v>
      </c>
      <c r="D177">
        <v>230</v>
      </c>
    </row>
    <row r="178" spans="2:4" x14ac:dyDescent="0.3">
      <c r="B178">
        <v>232</v>
      </c>
      <c r="C178">
        <v>232</v>
      </c>
      <c r="D178">
        <v>232</v>
      </c>
    </row>
    <row r="179" spans="2:4" x14ac:dyDescent="0.3">
      <c r="B179">
        <v>243</v>
      </c>
      <c r="C179">
        <v>243</v>
      </c>
      <c r="D179">
        <v>243</v>
      </c>
    </row>
    <row r="180" spans="2:4" x14ac:dyDescent="0.3">
      <c r="B180">
        <v>272</v>
      </c>
      <c r="C180">
        <v>272</v>
      </c>
      <c r="D180">
        <v>272</v>
      </c>
    </row>
    <row r="181" spans="2:4" x14ac:dyDescent="0.3">
      <c r="B181">
        <v>280</v>
      </c>
      <c r="C181">
        <v>280</v>
      </c>
      <c r="D181">
        <v>280</v>
      </c>
    </row>
    <row r="182" spans="2:4" x14ac:dyDescent="0.3">
      <c r="B182">
        <v>309</v>
      </c>
      <c r="C182">
        <v>309</v>
      </c>
      <c r="D182">
        <v>309</v>
      </c>
    </row>
    <row r="183" spans="2:4" x14ac:dyDescent="0.3">
      <c r="B183">
        <v>318</v>
      </c>
      <c r="C183">
        <v>318</v>
      </c>
      <c r="D183">
        <v>318</v>
      </c>
    </row>
    <row r="184" spans="2:4" x14ac:dyDescent="0.3">
      <c r="B184">
        <v>319</v>
      </c>
      <c r="C184">
        <v>319</v>
      </c>
      <c r="D184">
        <v>319</v>
      </c>
    </row>
    <row r="185" spans="2:4" x14ac:dyDescent="0.3">
      <c r="B185" s="21">
        <v>382</v>
      </c>
      <c r="C185" s="21">
        <v>319</v>
      </c>
      <c r="D185" s="21">
        <v>319</v>
      </c>
    </row>
    <row r="186" spans="2:4" x14ac:dyDescent="0.3">
      <c r="B186" s="21">
        <v>598</v>
      </c>
      <c r="C186" s="21">
        <v>319</v>
      </c>
      <c r="D186" s="21">
        <v>319</v>
      </c>
    </row>
    <row r="187" spans="2:4" x14ac:dyDescent="0.3">
      <c r="B187" s="10" t="s">
        <v>33</v>
      </c>
      <c r="C187" s="10" t="s">
        <v>33</v>
      </c>
      <c r="D187" s="10">
        <v>123</v>
      </c>
    </row>
    <row r="188" spans="2:4" x14ac:dyDescent="0.3">
      <c r="B188" s="10" t="s">
        <v>33</v>
      </c>
      <c r="C188" s="10" t="s">
        <v>33</v>
      </c>
      <c r="D188" s="10">
        <v>123</v>
      </c>
    </row>
    <row r="189" spans="2:4" x14ac:dyDescent="0.3">
      <c r="B189" s="10" t="s">
        <v>33</v>
      </c>
      <c r="C189" s="10" t="s">
        <v>33</v>
      </c>
      <c r="D189" s="10">
        <v>123</v>
      </c>
    </row>
    <row r="190" spans="2:4" x14ac:dyDescent="0.3">
      <c r="B190" s="10" t="s">
        <v>33</v>
      </c>
      <c r="C190" s="10" t="s">
        <v>33</v>
      </c>
      <c r="D190" s="10">
        <v>123</v>
      </c>
    </row>
    <row r="191" spans="2:4" x14ac:dyDescent="0.3">
      <c r="B191" s="10" t="s">
        <v>33</v>
      </c>
      <c r="C191" s="10" t="s">
        <v>33</v>
      </c>
      <c r="D191" s="10">
        <v>123</v>
      </c>
    </row>
    <row r="192" spans="2:4" x14ac:dyDescent="0.3">
      <c r="B192" s="10" t="s">
        <v>33</v>
      </c>
      <c r="C192" s="10" t="s">
        <v>33</v>
      </c>
      <c r="D192" s="10">
        <v>123</v>
      </c>
    </row>
    <row r="193" spans="2:4" x14ac:dyDescent="0.3">
      <c r="B193" s="10" t="s">
        <v>33</v>
      </c>
      <c r="C193" s="10" t="s">
        <v>33</v>
      </c>
      <c r="D193" s="10">
        <v>123</v>
      </c>
    </row>
    <row r="194" spans="2:4" x14ac:dyDescent="0.3">
      <c r="B194" s="10" t="s">
        <v>33</v>
      </c>
      <c r="C194" s="10" t="s">
        <v>33</v>
      </c>
      <c r="D194" s="10">
        <v>123</v>
      </c>
    </row>
    <row r="195" spans="2:4" x14ac:dyDescent="0.3">
      <c r="B195" s="10" t="s">
        <v>33</v>
      </c>
      <c r="C195" s="10" t="s">
        <v>33</v>
      </c>
      <c r="D195" s="10">
        <v>123</v>
      </c>
    </row>
    <row r="196" spans="2:4" x14ac:dyDescent="0.3">
      <c r="B196" s="10" t="s">
        <v>33</v>
      </c>
      <c r="C196" s="10" t="s">
        <v>33</v>
      </c>
      <c r="D196" s="10">
        <v>123</v>
      </c>
    </row>
    <row r="197" spans="2:4" x14ac:dyDescent="0.3">
      <c r="B197" s="10" t="s">
        <v>33</v>
      </c>
      <c r="C197" s="10" t="s">
        <v>33</v>
      </c>
      <c r="D197" s="10">
        <v>123</v>
      </c>
    </row>
    <row r="198" spans="2:4" x14ac:dyDescent="0.3">
      <c r="B198" s="10" t="s">
        <v>33</v>
      </c>
      <c r="C198" s="10" t="s">
        <v>33</v>
      </c>
      <c r="D198" s="10">
        <v>123</v>
      </c>
    </row>
    <row r="199" spans="2:4" x14ac:dyDescent="0.3">
      <c r="B199" s="10" t="s">
        <v>33</v>
      </c>
      <c r="C199" s="10" t="s">
        <v>33</v>
      </c>
      <c r="D199" s="10">
        <v>123</v>
      </c>
    </row>
    <row r="200" spans="2:4" x14ac:dyDescent="0.3">
      <c r="B200" s="10" t="s">
        <v>33</v>
      </c>
      <c r="C200" s="10" t="s">
        <v>33</v>
      </c>
      <c r="D200" s="10">
        <v>123</v>
      </c>
    </row>
    <row r="201" spans="2:4" x14ac:dyDescent="0.3">
      <c r="B201" s="10" t="s">
        <v>33</v>
      </c>
      <c r="C201" s="10" t="s">
        <v>33</v>
      </c>
      <c r="D201" s="10">
        <v>123</v>
      </c>
    </row>
    <row r="202" spans="2:4" x14ac:dyDescent="0.3">
      <c r="B202" s="10" t="s">
        <v>33</v>
      </c>
      <c r="C202" s="10" t="s">
        <v>33</v>
      </c>
      <c r="D202" s="10">
        <v>123</v>
      </c>
    </row>
    <row r="203" spans="2:4" x14ac:dyDescent="0.3">
      <c r="B203" s="10" t="s">
        <v>33</v>
      </c>
      <c r="C203" s="10" t="s">
        <v>33</v>
      </c>
      <c r="D203" s="10">
        <v>123</v>
      </c>
    </row>
    <row r="204" spans="2:4" x14ac:dyDescent="0.3">
      <c r="B204" s="10" t="s">
        <v>33</v>
      </c>
      <c r="C204" s="10" t="s">
        <v>33</v>
      </c>
      <c r="D204" s="10">
        <v>123</v>
      </c>
    </row>
    <row r="205" spans="2:4" x14ac:dyDescent="0.3">
      <c r="B205" s="10" t="s">
        <v>33</v>
      </c>
      <c r="C205" s="10" t="s">
        <v>33</v>
      </c>
      <c r="D205" s="10">
        <v>123</v>
      </c>
    </row>
    <row r="206" spans="2:4" x14ac:dyDescent="0.3">
      <c r="B206" s="10" t="s">
        <v>33</v>
      </c>
      <c r="C206" s="10" t="s">
        <v>33</v>
      </c>
      <c r="D206" s="10">
        <v>123</v>
      </c>
    </row>
    <row r="207" spans="2:4" x14ac:dyDescent="0.3">
      <c r="B207" s="10" t="s">
        <v>33</v>
      </c>
      <c r="C207" s="10" t="s">
        <v>33</v>
      </c>
      <c r="D207" s="10">
        <v>123</v>
      </c>
    </row>
    <row r="208" spans="2:4" x14ac:dyDescent="0.3">
      <c r="B208" s="10" t="s">
        <v>33</v>
      </c>
      <c r="C208" s="10" t="s">
        <v>33</v>
      </c>
      <c r="D208" s="10">
        <v>123</v>
      </c>
    </row>
    <row r="209" spans="1:4" x14ac:dyDescent="0.3">
      <c r="B209" s="10" t="s">
        <v>33</v>
      </c>
      <c r="C209" s="10" t="s">
        <v>33</v>
      </c>
      <c r="D209" s="10">
        <v>123</v>
      </c>
    </row>
    <row r="210" spans="1:4" x14ac:dyDescent="0.3">
      <c r="B210" s="10" t="s">
        <v>33</v>
      </c>
      <c r="C210" s="10" t="s">
        <v>33</v>
      </c>
      <c r="D210" s="10">
        <v>123</v>
      </c>
    </row>
    <row r="211" spans="1:4" x14ac:dyDescent="0.3">
      <c r="B211" s="10" t="s">
        <v>33</v>
      </c>
      <c r="C211" s="10" t="s">
        <v>33</v>
      </c>
      <c r="D211" s="10">
        <v>123</v>
      </c>
    </row>
    <row r="214" spans="1:4" x14ac:dyDescent="0.3">
      <c r="A214" t="s">
        <v>47</v>
      </c>
      <c r="B214" s="3">
        <f>AVERAGE(B$3:B$211)</f>
        <v>125.08695652173913</v>
      </c>
      <c r="C214" s="3">
        <f>AVERAGE(C$3:C$211)</f>
        <v>123.22826086956522</v>
      </c>
      <c r="D214" s="3">
        <f>AVERAGE(D$3:D$211)</f>
        <v>123.20095693779905</v>
      </c>
    </row>
    <row r="216" spans="1:4" ht="15.6" x14ac:dyDescent="0.3">
      <c r="A216" t="s">
        <v>48</v>
      </c>
      <c r="B216" s="4">
        <f>STDEV(B$3:B$211)</f>
        <v>67.308546891726138</v>
      </c>
      <c r="C216" s="4">
        <f>STDEV(C$3:C$211)</f>
        <v>57.923466230261944</v>
      </c>
      <c r="D216" s="4">
        <f>STDEV(D$3:D$211)</f>
        <v>54.331141012270777</v>
      </c>
    </row>
    <row r="219" spans="1:4" x14ac:dyDescent="0.3">
      <c r="A219" t="s">
        <v>49</v>
      </c>
      <c r="B219">
        <f>MIN(B$3:B$211)</f>
        <v>46</v>
      </c>
      <c r="C219">
        <f>MIN(C$3:C$211)</f>
        <v>46</v>
      </c>
      <c r="D219">
        <f>MIN(D$3:D$211)</f>
        <v>46</v>
      </c>
    </row>
    <row r="221" spans="1:4" x14ac:dyDescent="0.3">
      <c r="A221" t="s">
        <v>50</v>
      </c>
      <c r="B221" s="3">
        <f>QUARTILE(B$3:B$211,1)</f>
        <v>83.75</v>
      </c>
      <c r="C221" s="3">
        <f>QUARTILE(C$3:C$211,1)</f>
        <v>83.75</v>
      </c>
      <c r="D221" s="3">
        <f>QUARTILE(D$3:D$211,1)</f>
        <v>86</v>
      </c>
    </row>
    <row r="223" spans="1:4" x14ac:dyDescent="0.3">
      <c r="A223" t="s">
        <v>51</v>
      </c>
      <c r="B223" s="3">
        <f>MEDIAN(B$3:B$211)</f>
        <v>107.5</v>
      </c>
      <c r="C223" s="3">
        <f>MEDIAN(C$3:C$211)</f>
        <v>107.5</v>
      </c>
      <c r="D223" s="3">
        <f>MEDIAN(D$3:D$211)</f>
        <v>118</v>
      </c>
    </row>
    <row r="225" spans="1:4" x14ac:dyDescent="0.3">
      <c r="A225" t="s">
        <v>52</v>
      </c>
      <c r="B225">
        <f>QUARTILE(B$3:B$211,3)</f>
        <v>154</v>
      </c>
      <c r="C225">
        <f>QUARTILE(C$3:C$211,3)</f>
        <v>154</v>
      </c>
      <c r="D225">
        <f>QUARTILE(D$3:D$211,3)</f>
        <v>143</v>
      </c>
    </row>
    <row r="227" spans="1:4" x14ac:dyDescent="0.3">
      <c r="A227" t="s">
        <v>53</v>
      </c>
      <c r="B227">
        <f>MAX(B$3:B$211)</f>
        <v>598</v>
      </c>
      <c r="C227">
        <f>MAX(C$3:C$211)</f>
        <v>319</v>
      </c>
      <c r="D227">
        <f>MAX(D$3:D$211)</f>
        <v>319</v>
      </c>
    </row>
    <row r="229" spans="1:4" x14ac:dyDescent="0.3">
      <c r="A229" t="s">
        <v>54</v>
      </c>
      <c r="B229">
        <f>B227-B219</f>
        <v>552</v>
      </c>
      <c r="C229">
        <f>C227-C219</f>
        <v>273</v>
      </c>
      <c r="D229">
        <f>D227-D219</f>
        <v>273</v>
      </c>
    </row>
    <row r="231" spans="1:4" x14ac:dyDescent="0.3">
      <c r="A231" t="s">
        <v>55</v>
      </c>
      <c r="B231">
        <f>B221-B225</f>
        <v>-70.25</v>
      </c>
      <c r="C231">
        <f>C221-C225</f>
        <v>-70.25</v>
      </c>
      <c r="D231">
        <f>D221-D225</f>
        <v>-57</v>
      </c>
    </row>
    <row r="233" spans="1:4" x14ac:dyDescent="0.3">
      <c r="A233" t="s">
        <v>56</v>
      </c>
      <c r="B233">
        <f>MODE(B$3:B$211)</f>
        <v>68</v>
      </c>
      <c r="C233">
        <f>MODE(C$3:C$211)</f>
        <v>68</v>
      </c>
      <c r="D233">
        <f>MODE(D$3:D$211)</f>
        <v>123</v>
      </c>
    </row>
  </sheetData>
  <sortState xmlns:xlrd2="http://schemas.microsoft.com/office/spreadsheetml/2017/richdata2" ref="B3:B211">
    <sortCondition ref="B3:B211"/>
  </sortState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BB212-7EFF-44B1-9B15-819B9D29D970}">
  <dimension ref="B1:I233"/>
  <sheetViews>
    <sheetView topLeftCell="A190" workbookViewId="0">
      <selection activeCell="D214" sqref="D214:D233"/>
    </sheetView>
  </sheetViews>
  <sheetFormatPr defaultRowHeight="14.4" x14ac:dyDescent="0.3"/>
  <cols>
    <col min="7" max="7" width="16.44140625" customWidth="1"/>
    <col min="8" max="8" width="15.5546875" customWidth="1"/>
  </cols>
  <sheetData>
    <row r="1" spans="4:9" x14ac:dyDescent="0.3">
      <c r="D1">
        <v>18</v>
      </c>
    </row>
    <row r="2" spans="4:9" ht="15.6" x14ac:dyDescent="0.3">
      <c r="D2" t="s">
        <v>16</v>
      </c>
      <c r="G2" s="11" t="s">
        <v>58</v>
      </c>
      <c r="H2" s="11" t="s">
        <v>115</v>
      </c>
      <c r="I2" s="11"/>
    </row>
    <row r="3" spans="4:9" ht="15.6" x14ac:dyDescent="0.3">
      <c r="D3">
        <v>9</v>
      </c>
      <c r="G3" s="11" t="s">
        <v>116</v>
      </c>
      <c r="H3" s="11">
        <v>0</v>
      </c>
      <c r="I3" s="12"/>
    </row>
    <row r="4" spans="4:9" ht="15.6" x14ac:dyDescent="0.3">
      <c r="D4">
        <v>9.1999999999999993</v>
      </c>
      <c r="G4" s="11"/>
      <c r="H4" s="11"/>
      <c r="I4" s="13"/>
    </row>
    <row r="5" spans="4:9" ht="15.6" x14ac:dyDescent="0.3">
      <c r="D5">
        <v>9.4</v>
      </c>
      <c r="G5" s="11"/>
      <c r="H5" s="11"/>
      <c r="I5" s="11"/>
    </row>
    <row r="6" spans="4:9" ht="15.6" x14ac:dyDescent="0.3">
      <c r="D6">
        <v>9.4</v>
      </c>
      <c r="G6" s="11"/>
      <c r="H6" s="11"/>
      <c r="I6" s="11"/>
    </row>
    <row r="7" spans="4:9" ht="15.6" x14ac:dyDescent="0.3">
      <c r="D7">
        <v>9.5</v>
      </c>
      <c r="G7" s="11"/>
      <c r="H7" s="11"/>
      <c r="I7" s="11"/>
    </row>
    <row r="8" spans="4:9" ht="15.6" x14ac:dyDescent="0.3">
      <c r="D8">
        <v>9.5</v>
      </c>
      <c r="G8" s="11" t="s">
        <v>151</v>
      </c>
      <c r="H8" s="11"/>
      <c r="I8" s="11"/>
    </row>
    <row r="9" spans="4:9" ht="15.6" x14ac:dyDescent="0.3">
      <c r="D9">
        <v>9.5</v>
      </c>
      <c r="G9" s="11"/>
      <c r="H9" s="11"/>
      <c r="I9" s="11"/>
    </row>
    <row r="10" spans="4:9" ht="15.6" x14ac:dyDescent="0.3">
      <c r="D10">
        <v>9.6</v>
      </c>
      <c r="G10" s="11"/>
      <c r="H10" s="11"/>
      <c r="I10" s="11"/>
    </row>
    <row r="11" spans="4:9" ht="15.6" x14ac:dyDescent="0.3">
      <c r="D11">
        <v>9.6</v>
      </c>
      <c r="G11" s="11" t="s">
        <v>140</v>
      </c>
      <c r="H11" s="11" t="s">
        <v>154</v>
      </c>
      <c r="I11" s="11">
        <v>32</v>
      </c>
    </row>
    <row r="12" spans="4:9" ht="15.6" x14ac:dyDescent="0.3">
      <c r="D12">
        <v>9.6</v>
      </c>
      <c r="G12" s="11" t="s">
        <v>155</v>
      </c>
      <c r="H12" s="11" t="s">
        <v>156</v>
      </c>
      <c r="I12" s="11">
        <v>175</v>
      </c>
    </row>
    <row r="13" spans="4:9" ht="15.6" x14ac:dyDescent="0.3">
      <c r="D13">
        <v>9.6999999999999993</v>
      </c>
      <c r="G13" s="11" t="s">
        <v>157</v>
      </c>
      <c r="H13" s="11" t="s">
        <v>158</v>
      </c>
      <c r="I13" s="11">
        <v>2</v>
      </c>
    </row>
    <row r="14" spans="4:9" x14ac:dyDescent="0.3">
      <c r="D14">
        <v>9.6999999999999993</v>
      </c>
    </row>
    <row r="15" spans="4:9" x14ac:dyDescent="0.3">
      <c r="D15">
        <v>9.6999999999999993</v>
      </c>
    </row>
    <row r="16" spans="4:9" x14ac:dyDescent="0.3">
      <c r="D16">
        <v>9.6999999999999993</v>
      </c>
    </row>
    <row r="17" spans="4:4" x14ac:dyDescent="0.3">
      <c r="D17">
        <v>9.8000000000000007</v>
      </c>
    </row>
    <row r="18" spans="4:4" x14ac:dyDescent="0.3">
      <c r="D18">
        <v>9.8000000000000007</v>
      </c>
    </row>
    <row r="19" spans="4:4" x14ac:dyDescent="0.3">
      <c r="D19">
        <v>9.8000000000000007</v>
      </c>
    </row>
    <row r="20" spans="4:4" x14ac:dyDescent="0.3">
      <c r="D20">
        <v>9.8000000000000007</v>
      </c>
    </row>
    <row r="21" spans="4:4" x14ac:dyDescent="0.3">
      <c r="D21">
        <v>9.8000000000000007</v>
      </c>
    </row>
    <row r="22" spans="4:4" x14ac:dyDescent="0.3">
      <c r="D22">
        <v>9.8000000000000007</v>
      </c>
    </row>
    <row r="23" spans="4:4" x14ac:dyDescent="0.3">
      <c r="D23">
        <v>9.8000000000000007</v>
      </c>
    </row>
    <row r="24" spans="4:4" x14ac:dyDescent="0.3">
      <c r="D24">
        <v>9.8000000000000007</v>
      </c>
    </row>
    <row r="25" spans="4:4" x14ac:dyDescent="0.3">
      <c r="D25">
        <v>9.9</v>
      </c>
    </row>
    <row r="26" spans="4:4" x14ac:dyDescent="0.3">
      <c r="D26">
        <v>9.9</v>
      </c>
    </row>
    <row r="27" spans="4:4" x14ac:dyDescent="0.3">
      <c r="D27">
        <v>9.9</v>
      </c>
    </row>
    <row r="28" spans="4:4" x14ac:dyDescent="0.3">
      <c r="D28">
        <v>9.9</v>
      </c>
    </row>
    <row r="29" spans="4:4" x14ac:dyDescent="0.3">
      <c r="D29">
        <v>9.9</v>
      </c>
    </row>
    <row r="30" spans="4:4" x14ac:dyDescent="0.3">
      <c r="D30">
        <v>9.9</v>
      </c>
    </row>
    <row r="31" spans="4:4" x14ac:dyDescent="0.3">
      <c r="D31">
        <v>9.9</v>
      </c>
    </row>
    <row r="32" spans="4:4" x14ac:dyDescent="0.3">
      <c r="D32">
        <v>9.9</v>
      </c>
    </row>
    <row r="33" spans="4:4" x14ac:dyDescent="0.3">
      <c r="D33">
        <v>9.9</v>
      </c>
    </row>
    <row r="34" spans="4:4" x14ac:dyDescent="0.3">
      <c r="D34">
        <v>9.9</v>
      </c>
    </row>
    <row r="35" spans="4:4" x14ac:dyDescent="0.3">
      <c r="D35">
        <v>10</v>
      </c>
    </row>
    <row r="36" spans="4:4" x14ac:dyDescent="0.3">
      <c r="D36">
        <v>10</v>
      </c>
    </row>
    <row r="37" spans="4:4" x14ac:dyDescent="0.3">
      <c r="D37">
        <v>10</v>
      </c>
    </row>
    <row r="38" spans="4:4" x14ac:dyDescent="0.3">
      <c r="D38">
        <v>10</v>
      </c>
    </row>
    <row r="39" spans="4:4" x14ac:dyDescent="0.3">
      <c r="D39">
        <v>10</v>
      </c>
    </row>
    <row r="40" spans="4:4" x14ac:dyDescent="0.3">
      <c r="D40">
        <v>10</v>
      </c>
    </row>
    <row r="41" spans="4:4" x14ac:dyDescent="0.3">
      <c r="D41">
        <v>10</v>
      </c>
    </row>
    <row r="42" spans="4:4" x14ac:dyDescent="0.3">
      <c r="D42">
        <v>10</v>
      </c>
    </row>
    <row r="43" spans="4:4" x14ac:dyDescent="0.3">
      <c r="D43">
        <v>10</v>
      </c>
    </row>
    <row r="44" spans="4:4" x14ac:dyDescent="0.3">
      <c r="D44">
        <v>10</v>
      </c>
    </row>
    <row r="45" spans="4:4" x14ac:dyDescent="0.3">
      <c r="D45">
        <v>10</v>
      </c>
    </row>
    <row r="46" spans="4:4" x14ac:dyDescent="0.3">
      <c r="D46">
        <v>10</v>
      </c>
    </row>
    <row r="47" spans="4:4" x14ac:dyDescent="0.3">
      <c r="D47">
        <v>10.1</v>
      </c>
    </row>
    <row r="48" spans="4:4" x14ac:dyDescent="0.3">
      <c r="D48">
        <v>10.1</v>
      </c>
    </row>
    <row r="49" spans="4:4" x14ac:dyDescent="0.3">
      <c r="D49">
        <v>10.1</v>
      </c>
    </row>
    <row r="50" spans="4:4" x14ac:dyDescent="0.3">
      <c r="D50">
        <v>10.1</v>
      </c>
    </row>
    <row r="51" spans="4:4" x14ac:dyDescent="0.3">
      <c r="D51">
        <v>10.1</v>
      </c>
    </row>
    <row r="52" spans="4:4" x14ac:dyDescent="0.3">
      <c r="D52">
        <v>10.1</v>
      </c>
    </row>
    <row r="53" spans="4:4" x14ac:dyDescent="0.3">
      <c r="D53">
        <v>10.1</v>
      </c>
    </row>
    <row r="54" spans="4:4" x14ac:dyDescent="0.3">
      <c r="D54">
        <v>10.1</v>
      </c>
    </row>
    <row r="55" spans="4:4" x14ac:dyDescent="0.3">
      <c r="D55">
        <v>10.1</v>
      </c>
    </row>
    <row r="56" spans="4:4" x14ac:dyDescent="0.3">
      <c r="D56">
        <v>10.1</v>
      </c>
    </row>
    <row r="57" spans="4:4" x14ac:dyDescent="0.3">
      <c r="D57">
        <v>10.1</v>
      </c>
    </row>
    <row r="58" spans="4:4" x14ac:dyDescent="0.3">
      <c r="D58">
        <v>10.199999999999999</v>
      </c>
    </row>
    <row r="59" spans="4:4" x14ac:dyDescent="0.3">
      <c r="D59">
        <v>10.199999999999999</v>
      </c>
    </row>
    <row r="60" spans="4:4" x14ac:dyDescent="0.3">
      <c r="D60">
        <v>10.199999999999999</v>
      </c>
    </row>
    <row r="61" spans="4:4" x14ac:dyDescent="0.3">
      <c r="D61">
        <v>10.199999999999999</v>
      </c>
    </row>
    <row r="62" spans="4:4" x14ac:dyDescent="0.3">
      <c r="D62">
        <v>10.199999999999999</v>
      </c>
    </row>
    <row r="63" spans="4:4" x14ac:dyDescent="0.3">
      <c r="D63">
        <v>10.3</v>
      </c>
    </row>
    <row r="64" spans="4:4" x14ac:dyDescent="0.3">
      <c r="D64">
        <v>10.3</v>
      </c>
    </row>
    <row r="65" spans="4:4" x14ac:dyDescent="0.3">
      <c r="D65">
        <v>10.3</v>
      </c>
    </row>
    <row r="66" spans="4:4" x14ac:dyDescent="0.3">
      <c r="D66">
        <v>10.3</v>
      </c>
    </row>
    <row r="67" spans="4:4" x14ac:dyDescent="0.3">
      <c r="D67">
        <v>10.3</v>
      </c>
    </row>
    <row r="68" spans="4:4" x14ac:dyDescent="0.3">
      <c r="D68">
        <v>10.3</v>
      </c>
    </row>
    <row r="69" spans="4:4" x14ac:dyDescent="0.3">
      <c r="D69">
        <v>10.3</v>
      </c>
    </row>
    <row r="70" spans="4:4" x14ac:dyDescent="0.3">
      <c r="D70">
        <v>10.3</v>
      </c>
    </row>
    <row r="71" spans="4:4" x14ac:dyDescent="0.3">
      <c r="D71">
        <v>10.3</v>
      </c>
    </row>
    <row r="72" spans="4:4" x14ac:dyDescent="0.3">
      <c r="D72">
        <v>10.4</v>
      </c>
    </row>
    <row r="73" spans="4:4" x14ac:dyDescent="0.3">
      <c r="D73">
        <v>10.4</v>
      </c>
    </row>
    <row r="74" spans="4:4" x14ac:dyDescent="0.3">
      <c r="D74">
        <v>10.4</v>
      </c>
    </row>
    <row r="75" spans="4:4" x14ac:dyDescent="0.3">
      <c r="D75">
        <v>10.4</v>
      </c>
    </row>
    <row r="76" spans="4:4" x14ac:dyDescent="0.3">
      <c r="D76">
        <v>10.4</v>
      </c>
    </row>
    <row r="77" spans="4:4" x14ac:dyDescent="0.3">
      <c r="D77">
        <v>10.5</v>
      </c>
    </row>
    <row r="78" spans="4:4" x14ac:dyDescent="0.3">
      <c r="D78">
        <v>10.5</v>
      </c>
    </row>
    <row r="79" spans="4:4" x14ac:dyDescent="0.3">
      <c r="D79">
        <v>10.5</v>
      </c>
    </row>
    <row r="80" spans="4:4" x14ac:dyDescent="0.3">
      <c r="D80">
        <v>10.5</v>
      </c>
    </row>
    <row r="81" spans="4:4" x14ac:dyDescent="0.3">
      <c r="D81">
        <v>10.5</v>
      </c>
    </row>
    <row r="82" spans="4:4" x14ac:dyDescent="0.3">
      <c r="D82">
        <v>10.6</v>
      </c>
    </row>
    <row r="83" spans="4:4" x14ac:dyDescent="0.3">
      <c r="D83">
        <v>10.6</v>
      </c>
    </row>
    <row r="84" spans="4:4" x14ac:dyDescent="0.3">
      <c r="D84">
        <v>10.6</v>
      </c>
    </row>
    <row r="85" spans="4:4" x14ac:dyDescent="0.3">
      <c r="D85">
        <v>10.6</v>
      </c>
    </row>
    <row r="86" spans="4:4" x14ac:dyDescent="0.3">
      <c r="D86">
        <v>10.6</v>
      </c>
    </row>
    <row r="87" spans="4:4" x14ac:dyDescent="0.3">
      <c r="D87">
        <v>10.6</v>
      </c>
    </row>
    <row r="88" spans="4:4" x14ac:dyDescent="0.3">
      <c r="D88">
        <v>10.6</v>
      </c>
    </row>
    <row r="89" spans="4:4" x14ac:dyDescent="0.3">
      <c r="D89">
        <v>10.6</v>
      </c>
    </row>
    <row r="90" spans="4:4" x14ac:dyDescent="0.3">
      <c r="D90">
        <v>10.6</v>
      </c>
    </row>
    <row r="91" spans="4:4" x14ac:dyDescent="0.3">
      <c r="D91">
        <v>10.6</v>
      </c>
    </row>
    <row r="92" spans="4:4" x14ac:dyDescent="0.3">
      <c r="D92">
        <v>10.6</v>
      </c>
    </row>
    <row r="93" spans="4:4" x14ac:dyDescent="0.3">
      <c r="D93">
        <v>10.6</v>
      </c>
    </row>
    <row r="94" spans="4:4" x14ac:dyDescent="0.3">
      <c r="D94">
        <v>10.6</v>
      </c>
    </row>
    <row r="95" spans="4:4" x14ac:dyDescent="0.3">
      <c r="D95">
        <v>10.6</v>
      </c>
    </row>
    <row r="96" spans="4:4" x14ac:dyDescent="0.3">
      <c r="D96">
        <v>10.6</v>
      </c>
    </row>
    <row r="97" spans="4:4" x14ac:dyDescent="0.3">
      <c r="D97">
        <v>10.6</v>
      </c>
    </row>
    <row r="98" spans="4:4" x14ac:dyDescent="0.3">
      <c r="D98">
        <v>10.6</v>
      </c>
    </row>
    <row r="99" spans="4:4" x14ac:dyDescent="0.3">
      <c r="D99">
        <v>10.6</v>
      </c>
    </row>
    <row r="100" spans="4:4" x14ac:dyDescent="0.3">
      <c r="D100">
        <v>10.6</v>
      </c>
    </row>
    <row r="101" spans="4:4" x14ac:dyDescent="0.3">
      <c r="D101">
        <v>10.6</v>
      </c>
    </row>
    <row r="102" spans="4:4" x14ac:dyDescent="0.3">
      <c r="D102">
        <v>10.6</v>
      </c>
    </row>
    <row r="103" spans="4:4" x14ac:dyDescent="0.3">
      <c r="D103">
        <v>10.6</v>
      </c>
    </row>
    <row r="104" spans="4:4" x14ac:dyDescent="0.3">
      <c r="D104">
        <v>10.7</v>
      </c>
    </row>
    <row r="105" spans="4:4" x14ac:dyDescent="0.3">
      <c r="D105">
        <v>10.7</v>
      </c>
    </row>
    <row r="106" spans="4:4" x14ac:dyDescent="0.3">
      <c r="D106">
        <v>10.7</v>
      </c>
    </row>
    <row r="107" spans="4:4" x14ac:dyDescent="0.3">
      <c r="D107">
        <v>10.7</v>
      </c>
    </row>
    <row r="108" spans="4:4" x14ac:dyDescent="0.3">
      <c r="D108">
        <v>10.7</v>
      </c>
    </row>
    <row r="109" spans="4:4" x14ac:dyDescent="0.3">
      <c r="D109">
        <v>10.7</v>
      </c>
    </row>
    <row r="110" spans="4:4" x14ac:dyDescent="0.3">
      <c r="D110">
        <v>10.8</v>
      </c>
    </row>
    <row r="111" spans="4:4" x14ac:dyDescent="0.3">
      <c r="D111">
        <v>10.8</v>
      </c>
    </row>
    <row r="112" spans="4:4" x14ac:dyDescent="0.3">
      <c r="D112">
        <v>10.8</v>
      </c>
    </row>
    <row r="113" spans="4:4" x14ac:dyDescent="0.3">
      <c r="D113">
        <v>10.9</v>
      </c>
    </row>
    <row r="114" spans="4:4" x14ac:dyDescent="0.3">
      <c r="D114">
        <v>10.9</v>
      </c>
    </row>
    <row r="115" spans="4:4" x14ac:dyDescent="0.3">
      <c r="D115">
        <v>10.9</v>
      </c>
    </row>
    <row r="116" spans="4:4" x14ac:dyDescent="0.3">
      <c r="D116">
        <v>10.9</v>
      </c>
    </row>
    <row r="117" spans="4:4" x14ac:dyDescent="0.3">
      <c r="D117">
        <v>10.9</v>
      </c>
    </row>
    <row r="118" spans="4:4" x14ac:dyDescent="0.3">
      <c r="D118">
        <v>10.9</v>
      </c>
    </row>
    <row r="119" spans="4:4" x14ac:dyDescent="0.3">
      <c r="D119">
        <v>11</v>
      </c>
    </row>
    <row r="120" spans="4:4" x14ac:dyDescent="0.3">
      <c r="D120">
        <v>11</v>
      </c>
    </row>
    <row r="121" spans="4:4" x14ac:dyDescent="0.3">
      <c r="D121">
        <v>11</v>
      </c>
    </row>
    <row r="122" spans="4:4" x14ac:dyDescent="0.3">
      <c r="D122">
        <v>11</v>
      </c>
    </row>
    <row r="123" spans="4:4" x14ac:dyDescent="0.3">
      <c r="D123">
        <v>11</v>
      </c>
    </row>
    <row r="124" spans="4:4" x14ac:dyDescent="0.3">
      <c r="D124">
        <v>11</v>
      </c>
    </row>
    <row r="125" spans="4:4" x14ac:dyDescent="0.3">
      <c r="D125">
        <v>11</v>
      </c>
    </row>
    <row r="126" spans="4:4" x14ac:dyDescent="0.3">
      <c r="D126">
        <v>11</v>
      </c>
    </row>
    <row r="127" spans="4:4" x14ac:dyDescent="0.3">
      <c r="D127">
        <v>11</v>
      </c>
    </row>
    <row r="128" spans="4:4" x14ac:dyDescent="0.3">
      <c r="D128">
        <v>11</v>
      </c>
    </row>
    <row r="129" spans="4:4" x14ac:dyDescent="0.3">
      <c r="D129">
        <v>11</v>
      </c>
    </row>
    <row r="130" spans="4:4" x14ac:dyDescent="0.3">
      <c r="D130">
        <v>11</v>
      </c>
    </row>
    <row r="131" spans="4:4" x14ac:dyDescent="0.3">
      <c r="D131">
        <v>11</v>
      </c>
    </row>
    <row r="132" spans="4:4" x14ac:dyDescent="0.3">
      <c r="D132">
        <v>11</v>
      </c>
    </row>
    <row r="133" spans="4:4" x14ac:dyDescent="0.3">
      <c r="D133">
        <v>11</v>
      </c>
    </row>
    <row r="134" spans="4:4" x14ac:dyDescent="0.3">
      <c r="D134">
        <v>11</v>
      </c>
    </row>
    <row r="135" spans="4:4" x14ac:dyDescent="0.3">
      <c r="D135">
        <v>11</v>
      </c>
    </row>
    <row r="136" spans="4:4" x14ac:dyDescent="0.3">
      <c r="D136">
        <v>11</v>
      </c>
    </row>
    <row r="137" spans="4:4" x14ac:dyDescent="0.3">
      <c r="D137">
        <v>11</v>
      </c>
    </row>
    <row r="138" spans="4:4" x14ac:dyDescent="0.3">
      <c r="D138">
        <v>11</v>
      </c>
    </row>
    <row r="139" spans="4:4" x14ac:dyDescent="0.3">
      <c r="D139">
        <v>11</v>
      </c>
    </row>
    <row r="140" spans="4:4" x14ac:dyDescent="0.3">
      <c r="D140">
        <v>11</v>
      </c>
    </row>
    <row r="141" spans="4:4" x14ac:dyDescent="0.3">
      <c r="D141">
        <v>11</v>
      </c>
    </row>
    <row r="142" spans="4:4" x14ac:dyDescent="0.3">
      <c r="D142">
        <v>11</v>
      </c>
    </row>
    <row r="143" spans="4:4" x14ac:dyDescent="0.3">
      <c r="D143">
        <v>11</v>
      </c>
    </row>
    <row r="144" spans="4:4" x14ac:dyDescent="0.3">
      <c r="D144">
        <v>11</v>
      </c>
    </row>
    <row r="145" spans="4:4" x14ac:dyDescent="0.3">
      <c r="D145">
        <v>11.1</v>
      </c>
    </row>
    <row r="146" spans="4:4" x14ac:dyDescent="0.3">
      <c r="D146">
        <v>11.1</v>
      </c>
    </row>
    <row r="147" spans="4:4" x14ac:dyDescent="0.3">
      <c r="D147">
        <v>11.1</v>
      </c>
    </row>
    <row r="148" spans="4:4" x14ac:dyDescent="0.3">
      <c r="D148">
        <v>11.1</v>
      </c>
    </row>
    <row r="149" spans="4:4" x14ac:dyDescent="0.3">
      <c r="D149">
        <v>11.1</v>
      </c>
    </row>
    <row r="150" spans="4:4" x14ac:dyDescent="0.3">
      <c r="D150">
        <v>11.1</v>
      </c>
    </row>
    <row r="151" spans="4:4" x14ac:dyDescent="0.3">
      <c r="D151">
        <v>11.1</v>
      </c>
    </row>
    <row r="152" spans="4:4" x14ac:dyDescent="0.3">
      <c r="D152">
        <v>11.2</v>
      </c>
    </row>
    <row r="153" spans="4:4" x14ac:dyDescent="0.3">
      <c r="D153">
        <v>11.2</v>
      </c>
    </row>
    <row r="154" spans="4:4" x14ac:dyDescent="0.3">
      <c r="D154">
        <v>11.2</v>
      </c>
    </row>
    <row r="155" spans="4:4" x14ac:dyDescent="0.3">
      <c r="D155">
        <v>11.2</v>
      </c>
    </row>
    <row r="156" spans="4:4" x14ac:dyDescent="0.3">
      <c r="D156">
        <v>11.3</v>
      </c>
    </row>
    <row r="157" spans="4:4" x14ac:dyDescent="0.3">
      <c r="D157">
        <v>11.3</v>
      </c>
    </row>
    <row r="158" spans="4:4" x14ac:dyDescent="0.3">
      <c r="D158">
        <v>11.4</v>
      </c>
    </row>
    <row r="159" spans="4:4" x14ac:dyDescent="0.3">
      <c r="D159">
        <v>11.4</v>
      </c>
    </row>
    <row r="160" spans="4:4" x14ac:dyDescent="0.3">
      <c r="D160">
        <v>11.4</v>
      </c>
    </row>
    <row r="161" spans="4:4" x14ac:dyDescent="0.3">
      <c r="D161">
        <v>11.4</v>
      </c>
    </row>
    <row r="162" spans="4:4" x14ac:dyDescent="0.3">
      <c r="D162">
        <v>11.5</v>
      </c>
    </row>
    <row r="163" spans="4:4" x14ac:dyDescent="0.3">
      <c r="D163">
        <v>11.5</v>
      </c>
    </row>
    <row r="164" spans="4:4" x14ac:dyDescent="0.3">
      <c r="D164">
        <v>11.5</v>
      </c>
    </row>
    <row r="165" spans="4:4" x14ac:dyDescent="0.3">
      <c r="D165">
        <v>11.5</v>
      </c>
    </row>
    <row r="166" spans="4:4" x14ac:dyDescent="0.3">
      <c r="D166">
        <v>11.5</v>
      </c>
    </row>
    <row r="167" spans="4:4" x14ac:dyDescent="0.3">
      <c r="D167">
        <v>11.5</v>
      </c>
    </row>
    <row r="168" spans="4:4" x14ac:dyDescent="0.3">
      <c r="D168">
        <v>11.5</v>
      </c>
    </row>
    <row r="169" spans="4:4" x14ac:dyDescent="0.3">
      <c r="D169">
        <v>11.6</v>
      </c>
    </row>
    <row r="170" spans="4:4" x14ac:dyDescent="0.3">
      <c r="D170">
        <v>11.6</v>
      </c>
    </row>
    <row r="171" spans="4:4" x14ac:dyDescent="0.3">
      <c r="D171">
        <v>11.6</v>
      </c>
    </row>
    <row r="172" spans="4:4" x14ac:dyDescent="0.3">
      <c r="D172">
        <v>11.6</v>
      </c>
    </row>
    <row r="173" spans="4:4" x14ac:dyDescent="0.3">
      <c r="D173">
        <v>11.7</v>
      </c>
    </row>
    <row r="174" spans="4:4" x14ac:dyDescent="0.3">
      <c r="D174">
        <v>11.7</v>
      </c>
    </row>
    <row r="175" spans="4:4" x14ac:dyDescent="0.3">
      <c r="D175">
        <v>11.7</v>
      </c>
    </row>
    <row r="176" spans="4:4" x14ac:dyDescent="0.3">
      <c r="D176">
        <v>11.7</v>
      </c>
    </row>
    <row r="177" spans="4:4" x14ac:dyDescent="0.3">
      <c r="D177">
        <v>11.7</v>
      </c>
    </row>
    <row r="178" spans="4:4" x14ac:dyDescent="0.3">
      <c r="D178">
        <v>11.7</v>
      </c>
    </row>
    <row r="179" spans="4:4" x14ac:dyDescent="0.3">
      <c r="D179">
        <v>11.8</v>
      </c>
    </row>
    <row r="180" spans="4:4" x14ac:dyDescent="0.3">
      <c r="D180">
        <v>11.8</v>
      </c>
    </row>
    <row r="181" spans="4:4" x14ac:dyDescent="0.3">
      <c r="D181">
        <v>11.9</v>
      </c>
    </row>
    <row r="182" spans="4:4" x14ac:dyDescent="0.3">
      <c r="D182">
        <v>12</v>
      </c>
    </row>
    <row r="183" spans="4:4" x14ac:dyDescent="0.3">
      <c r="D183">
        <v>12</v>
      </c>
    </row>
    <row r="184" spans="4:4" x14ac:dyDescent="0.3">
      <c r="D184">
        <v>12</v>
      </c>
    </row>
    <row r="185" spans="4:4" x14ac:dyDescent="0.3">
      <c r="D185">
        <v>12</v>
      </c>
    </row>
    <row r="186" spans="4:4" x14ac:dyDescent="0.3">
      <c r="D186">
        <v>12</v>
      </c>
    </row>
    <row r="187" spans="4:4" x14ac:dyDescent="0.3">
      <c r="D187">
        <v>12</v>
      </c>
    </row>
    <row r="188" spans="4:4" x14ac:dyDescent="0.3">
      <c r="D188">
        <v>12</v>
      </c>
    </row>
    <row r="189" spans="4:4" x14ac:dyDescent="0.3">
      <c r="D189">
        <v>12</v>
      </c>
    </row>
    <row r="190" spans="4:4" x14ac:dyDescent="0.3">
      <c r="D190">
        <v>12.1</v>
      </c>
    </row>
    <row r="191" spans="4:4" x14ac:dyDescent="0.3">
      <c r="D191">
        <v>12.2</v>
      </c>
    </row>
    <row r="192" spans="4:4" x14ac:dyDescent="0.3">
      <c r="D192">
        <v>12.2</v>
      </c>
    </row>
    <row r="193" spans="4:4" x14ac:dyDescent="0.3">
      <c r="D193">
        <v>12.4</v>
      </c>
    </row>
    <row r="194" spans="4:4" x14ac:dyDescent="0.3">
      <c r="D194">
        <v>12.4</v>
      </c>
    </row>
    <row r="195" spans="4:4" x14ac:dyDescent="0.3">
      <c r="D195">
        <v>12.4</v>
      </c>
    </row>
    <row r="196" spans="4:4" x14ac:dyDescent="0.3">
      <c r="D196">
        <v>12.4</v>
      </c>
    </row>
    <row r="197" spans="4:4" x14ac:dyDescent="0.3">
      <c r="D197">
        <v>12.6</v>
      </c>
    </row>
    <row r="198" spans="4:4" x14ac:dyDescent="0.3">
      <c r="D198">
        <v>12.7</v>
      </c>
    </row>
    <row r="199" spans="4:4" x14ac:dyDescent="0.3">
      <c r="D199">
        <v>12.7</v>
      </c>
    </row>
    <row r="200" spans="4:4" x14ac:dyDescent="0.3">
      <c r="D200">
        <v>12.9</v>
      </c>
    </row>
    <row r="201" spans="4:4" x14ac:dyDescent="0.3">
      <c r="D201">
        <v>13</v>
      </c>
    </row>
    <row r="202" spans="4:4" x14ac:dyDescent="0.3">
      <c r="D202">
        <v>13</v>
      </c>
    </row>
    <row r="203" spans="4:4" x14ac:dyDescent="0.3">
      <c r="D203">
        <v>13</v>
      </c>
    </row>
    <row r="204" spans="4:4" x14ac:dyDescent="0.3">
      <c r="D204">
        <v>13</v>
      </c>
    </row>
    <row r="205" spans="4:4" x14ac:dyDescent="0.3">
      <c r="D205">
        <v>13.2</v>
      </c>
    </row>
    <row r="206" spans="4:4" x14ac:dyDescent="0.3">
      <c r="D206">
        <v>13.2</v>
      </c>
    </row>
    <row r="207" spans="4:4" x14ac:dyDescent="0.3">
      <c r="D207">
        <v>13.2</v>
      </c>
    </row>
    <row r="208" spans="4:4" x14ac:dyDescent="0.3">
      <c r="D208">
        <v>13.3</v>
      </c>
    </row>
    <row r="209" spans="2:4" x14ac:dyDescent="0.3">
      <c r="D209">
        <v>13.6</v>
      </c>
    </row>
    <row r="210" spans="2:4" x14ac:dyDescent="0.3">
      <c r="D210">
        <v>14.1</v>
      </c>
    </row>
    <row r="211" spans="2:4" x14ac:dyDescent="0.3">
      <c r="D211" s="24">
        <v>17.100000000000001</v>
      </c>
    </row>
    <row r="214" spans="2:4" x14ac:dyDescent="0.3">
      <c r="B214" s="3"/>
      <c r="C214" t="s">
        <v>47</v>
      </c>
      <c r="D214" s="3">
        <f>AVERAGE(D$3:D$211)</f>
        <v>10.894736842105264</v>
      </c>
    </row>
    <row r="216" spans="2:4" ht="15.6" x14ac:dyDescent="0.3">
      <c r="B216" s="4"/>
      <c r="C216" t="s">
        <v>48</v>
      </c>
      <c r="D216" s="4">
        <f>STDEV(D$3:D$211)</f>
        <v>1.0270481659701614</v>
      </c>
    </row>
    <row r="219" spans="2:4" x14ac:dyDescent="0.3">
      <c r="C219" t="s">
        <v>49</v>
      </c>
      <c r="D219">
        <f>MIN(D$3:D$211)</f>
        <v>9</v>
      </c>
    </row>
    <row r="221" spans="2:4" x14ac:dyDescent="0.3">
      <c r="B221" s="3"/>
      <c r="C221" t="s">
        <v>50</v>
      </c>
      <c r="D221" s="3">
        <f>QUARTILE(D$3:D$211,1)</f>
        <v>10.1</v>
      </c>
    </row>
    <row r="223" spans="2:4" x14ac:dyDescent="0.3">
      <c r="B223" s="3"/>
      <c r="C223" t="s">
        <v>51</v>
      </c>
      <c r="D223" s="3">
        <f>MEDIAN(D$3:D$211)</f>
        <v>10.7</v>
      </c>
    </row>
    <row r="225" spans="3:4" x14ac:dyDescent="0.3">
      <c r="C225" t="s">
        <v>52</v>
      </c>
      <c r="D225">
        <f>QUARTILE(D$3:D$211,3)</f>
        <v>11.4</v>
      </c>
    </row>
    <row r="227" spans="3:4" x14ac:dyDescent="0.3">
      <c r="C227" t="s">
        <v>53</v>
      </c>
      <c r="D227">
        <f>MAX(D$3:D$211)</f>
        <v>17.100000000000001</v>
      </c>
    </row>
    <row r="229" spans="3:4" x14ac:dyDescent="0.3">
      <c r="C229" t="s">
        <v>54</v>
      </c>
      <c r="D229">
        <f>D227-D219</f>
        <v>8.1000000000000014</v>
      </c>
    </row>
    <row r="231" spans="3:4" x14ac:dyDescent="0.3">
      <c r="C231" t="s">
        <v>55</v>
      </c>
      <c r="D231">
        <f>D221-D225</f>
        <v>-1.3000000000000007</v>
      </c>
    </row>
    <row r="233" spans="3:4" x14ac:dyDescent="0.3">
      <c r="C233" t="s">
        <v>56</v>
      </c>
      <c r="D233">
        <f>MODE(D$3:D$211)</f>
        <v>11</v>
      </c>
    </row>
  </sheetData>
  <sortState xmlns:xlrd2="http://schemas.microsoft.com/office/spreadsheetml/2017/richdata2" ref="D3:D211">
    <sortCondition ref="D3:D211"/>
  </sortState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B1D27-B0AD-4597-9D72-BD9458CA53B5}">
  <dimension ref="A1:J233"/>
  <sheetViews>
    <sheetView workbookViewId="0">
      <selection activeCell="D214" sqref="D214:D233"/>
    </sheetView>
  </sheetViews>
  <sheetFormatPr defaultRowHeight="14.4" x14ac:dyDescent="0.3"/>
  <cols>
    <col min="4" max="4" width="13.33203125" customWidth="1"/>
    <col min="8" max="8" width="15.88671875" customWidth="1"/>
    <col min="9" max="9" width="15.5546875" customWidth="1"/>
  </cols>
  <sheetData>
    <row r="1" spans="2:10" x14ac:dyDescent="0.3">
      <c r="B1">
        <v>17</v>
      </c>
      <c r="D1">
        <v>17</v>
      </c>
    </row>
    <row r="2" spans="2:10" ht="15.6" x14ac:dyDescent="0.3">
      <c r="B2" t="s">
        <v>15</v>
      </c>
      <c r="D2" t="s">
        <v>15</v>
      </c>
      <c r="H2" s="11" t="s">
        <v>58</v>
      </c>
      <c r="I2" s="11" t="s">
        <v>115</v>
      </c>
      <c r="J2" s="11"/>
    </row>
    <row r="3" spans="2:10" ht="46.8" x14ac:dyDescent="0.3">
      <c r="B3">
        <v>70</v>
      </c>
      <c r="D3">
        <v>70</v>
      </c>
      <c r="H3" s="11" t="s">
        <v>116</v>
      </c>
      <c r="I3" s="11">
        <v>4</v>
      </c>
      <c r="J3" s="12" t="s">
        <v>150</v>
      </c>
    </row>
    <row r="4" spans="2:10" ht="15.6" x14ac:dyDescent="0.3">
      <c r="B4">
        <v>71</v>
      </c>
      <c r="D4">
        <v>71</v>
      </c>
      <c r="H4" s="11"/>
      <c r="I4" s="11"/>
      <c r="J4" s="13"/>
    </row>
    <row r="5" spans="2:10" ht="15.6" x14ac:dyDescent="0.3">
      <c r="B5">
        <v>79</v>
      </c>
      <c r="D5">
        <v>79</v>
      </c>
      <c r="H5" s="11"/>
      <c r="I5" s="11"/>
      <c r="J5" s="11"/>
    </row>
    <row r="6" spans="2:10" ht="15.6" x14ac:dyDescent="0.3">
      <c r="B6">
        <v>80</v>
      </c>
      <c r="D6">
        <v>80</v>
      </c>
      <c r="H6" s="11"/>
      <c r="I6" s="11"/>
      <c r="J6" s="11"/>
    </row>
    <row r="7" spans="2:10" ht="15.6" x14ac:dyDescent="0.3">
      <c r="B7">
        <v>81</v>
      </c>
      <c r="D7">
        <v>81</v>
      </c>
      <c r="H7" s="11"/>
      <c r="I7" s="11"/>
      <c r="J7" s="11"/>
    </row>
    <row r="8" spans="2:10" ht="15.6" x14ac:dyDescent="0.3">
      <c r="B8">
        <v>88</v>
      </c>
      <c r="D8">
        <v>88</v>
      </c>
      <c r="H8" s="11" t="s">
        <v>151</v>
      </c>
      <c r="I8" s="11"/>
      <c r="J8" s="11"/>
    </row>
    <row r="9" spans="2:10" ht="15.6" x14ac:dyDescent="0.3">
      <c r="B9">
        <v>102</v>
      </c>
      <c r="D9">
        <v>102</v>
      </c>
      <c r="H9" s="11"/>
      <c r="I9" s="11"/>
      <c r="J9" s="11"/>
    </row>
    <row r="10" spans="2:10" ht="15.6" x14ac:dyDescent="0.3">
      <c r="B10">
        <v>104</v>
      </c>
      <c r="D10">
        <v>104</v>
      </c>
      <c r="H10" s="11"/>
      <c r="I10" s="11"/>
      <c r="J10" s="11"/>
    </row>
    <row r="11" spans="2:10" ht="15.6" x14ac:dyDescent="0.3">
      <c r="B11">
        <v>108</v>
      </c>
      <c r="D11">
        <v>108</v>
      </c>
      <c r="H11" s="11" t="s">
        <v>128</v>
      </c>
      <c r="I11" s="11" t="s">
        <v>119</v>
      </c>
      <c r="J11" s="11">
        <v>29</v>
      </c>
    </row>
    <row r="12" spans="2:10" ht="15.6" x14ac:dyDescent="0.3">
      <c r="B12">
        <v>110</v>
      </c>
      <c r="D12">
        <v>110</v>
      </c>
      <c r="H12" s="11" t="s">
        <v>152</v>
      </c>
      <c r="I12" s="11" t="s">
        <v>121</v>
      </c>
      <c r="J12" s="11">
        <v>171</v>
      </c>
    </row>
    <row r="13" spans="2:10" ht="15.6" x14ac:dyDescent="0.3">
      <c r="B13">
        <v>114</v>
      </c>
      <c r="D13">
        <v>114</v>
      </c>
      <c r="H13" s="11" t="s">
        <v>153</v>
      </c>
      <c r="I13" s="11" t="s">
        <v>132</v>
      </c>
      <c r="J13" s="11">
        <v>9</v>
      </c>
    </row>
    <row r="14" spans="2:10" x14ac:dyDescent="0.3">
      <c r="B14">
        <v>119</v>
      </c>
      <c r="D14">
        <v>119</v>
      </c>
    </row>
    <row r="15" spans="2:10" x14ac:dyDescent="0.3">
      <c r="B15">
        <v>121</v>
      </c>
      <c r="D15">
        <v>121</v>
      </c>
    </row>
    <row r="16" spans="2:10" x14ac:dyDescent="0.3">
      <c r="B16">
        <v>123</v>
      </c>
      <c r="D16">
        <v>123</v>
      </c>
    </row>
    <row r="17" spans="2:4" x14ac:dyDescent="0.3">
      <c r="B17">
        <v>123</v>
      </c>
      <c r="D17">
        <v>123</v>
      </c>
    </row>
    <row r="18" spans="2:4" x14ac:dyDescent="0.3">
      <c r="B18">
        <v>124</v>
      </c>
      <c r="D18">
        <v>124</v>
      </c>
    </row>
    <row r="19" spans="2:4" x14ac:dyDescent="0.3">
      <c r="B19">
        <v>128</v>
      </c>
      <c r="D19">
        <v>128</v>
      </c>
    </row>
    <row r="20" spans="2:4" x14ac:dyDescent="0.3">
      <c r="B20">
        <v>128</v>
      </c>
      <c r="D20">
        <v>128</v>
      </c>
    </row>
    <row r="21" spans="2:4" x14ac:dyDescent="0.3">
      <c r="B21">
        <v>132</v>
      </c>
      <c r="D21">
        <v>132</v>
      </c>
    </row>
    <row r="22" spans="2:4" x14ac:dyDescent="0.3">
      <c r="B22">
        <v>136</v>
      </c>
      <c r="D22">
        <v>136</v>
      </c>
    </row>
    <row r="23" spans="2:4" x14ac:dyDescent="0.3">
      <c r="B23">
        <v>136</v>
      </c>
      <c r="D23">
        <v>136</v>
      </c>
    </row>
    <row r="24" spans="2:4" x14ac:dyDescent="0.3">
      <c r="B24">
        <v>137</v>
      </c>
      <c r="D24">
        <v>137</v>
      </c>
    </row>
    <row r="25" spans="2:4" x14ac:dyDescent="0.3">
      <c r="B25">
        <v>140</v>
      </c>
      <c r="D25">
        <v>140</v>
      </c>
    </row>
    <row r="26" spans="2:4" x14ac:dyDescent="0.3">
      <c r="B26">
        <v>141</v>
      </c>
      <c r="D26">
        <v>141</v>
      </c>
    </row>
    <row r="27" spans="2:4" x14ac:dyDescent="0.3">
      <c r="B27">
        <v>142</v>
      </c>
      <c r="D27">
        <v>142</v>
      </c>
    </row>
    <row r="28" spans="2:4" x14ac:dyDescent="0.3">
      <c r="B28">
        <v>144</v>
      </c>
      <c r="D28">
        <v>144</v>
      </c>
    </row>
    <row r="29" spans="2:4" x14ac:dyDescent="0.3">
      <c r="B29">
        <v>145</v>
      </c>
      <c r="D29">
        <v>145</v>
      </c>
    </row>
    <row r="30" spans="2:4" x14ac:dyDescent="0.3">
      <c r="B30">
        <v>146</v>
      </c>
      <c r="D30">
        <v>146</v>
      </c>
    </row>
    <row r="31" spans="2:4" x14ac:dyDescent="0.3">
      <c r="B31">
        <v>149</v>
      </c>
      <c r="D31">
        <v>149</v>
      </c>
    </row>
    <row r="32" spans="2:4" x14ac:dyDescent="0.3">
      <c r="B32">
        <v>151</v>
      </c>
      <c r="D32">
        <v>151</v>
      </c>
    </row>
    <row r="33" spans="2:4" x14ac:dyDescent="0.3">
      <c r="B33">
        <v>151</v>
      </c>
      <c r="D33">
        <v>151</v>
      </c>
    </row>
    <row r="34" spans="2:4" x14ac:dyDescent="0.3">
      <c r="B34">
        <v>153</v>
      </c>
      <c r="D34">
        <v>153</v>
      </c>
    </row>
    <row r="35" spans="2:4" x14ac:dyDescent="0.3">
      <c r="B35">
        <v>156</v>
      </c>
      <c r="D35">
        <v>156</v>
      </c>
    </row>
    <row r="36" spans="2:4" x14ac:dyDescent="0.3">
      <c r="B36">
        <v>156</v>
      </c>
      <c r="D36">
        <v>156</v>
      </c>
    </row>
    <row r="37" spans="2:4" x14ac:dyDescent="0.3">
      <c r="B37">
        <v>160</v>
      </c>
      <c r="D37">
        <v>160</v>
      </c>
    </row>
    <row r="38" spans="2:4" x14ac:dyDescent="0.3">
      <c r="B38">
        <v>164</v>
      </c>
      <c r="D38">
        <v>164</v>
      </c>
    </row>
    <row r="39" spans="2:4" x14ac:dyDescent="0.3">
      <c r="B39">
        <v>165</v>
      </c>
      <c r="D39">
        <v>165</v>
      </c>
    </row>
    <row r="40" spans="2:4" x14ac:dyDescent="0.3">
      <c r="B40">
        <v>165</v>
      </c>
      <c r="D40">
        <v>165</v>
      </c>
    </row>
    <row r="41" spans="2:4" x14ac:dyDescent="0.3">
      <c r="B41">
        <v>165</v>
      </c>
      <c r="D41">
        <v>165</v>
      </c>
    </row>
    <row r="42" spans="2:4" x14ac:dyDescent="0.3">
      <c r="B42">
        <v>166</v>
      </c>
      <c r="D42">
        <v>166</v>
      </c>
    </row>
    <row r="43" spans="2:4" x14ac:dyDescent="0.3">
      <c r="B43">
        <v>172</v>
      </c>
      <c r="D43">
        <v>172</v>
      </c>
    </row>
    <row r="44" spans="2:4" x14ac:dyDescent="0.3">
      <c r="B44">
        <v>173</v>
      </c>
      <c r="D44">
        <v>173</v>
      </c>
    </row>
    <row r="45" spans="2:4" x14ac:dyDescent="0.3">
      <c r="B45">
        <v>175</v>
      </c>
      <c r="D45">
        <v>175</v>
      </c>
    </row>
    <row r="46" spans="2:4" x14ac:dyDescent="0.3">
      <c r="B46">
        <v>176</v>
      </c>
      <c r="D46">
        <v>176</v>
      </c>
    </row>
    <row r="47" spans="2:4" x14ac:dyDescent="0.3">
      <c r="B47">
        <v>178</v>
      </c>
      <c r="D47">
        <v>178</v>
      </c>
    </row>
    <row r="48" spans="2:4" x14ac:dyDescent="0.3">
      <c r="B48">
        <v>180</v>
      </c>
      <c r="D48">
        <v>180</v>
      </c>
    </row>
    <row r="49" spans="2:4" x14ac:dyDescent="0.3">
      <c r="B49">
        <v>181</v>
      </c>
      <c r="D49">
        <v>181</v>
      </c>
    </row>
    <row r="50" spans="2:4" x14ac:dyDescent="0.3">
      <c r="B50">
        <v>181</v>
      </c>
      <c r="D50">
        <v>181</v>
      </c>
    </row>
    <row r="51" spans="2:4" x14ac:dyDescent="0.3">
      <c r="B51">
        <v>181</v>
      </c>
      <c r="D51">
        <v>181</v>
      </c>
    </row>
    <row r="52" spans="2:4" x14ac:dyDescent="0.3">
      <c r="B52">
        <v>182</v>
      </c>
      <c r="D52">
        <v>182</v>
      </c>
    </row>
    <row r="53" spans="2:4" x14ac:dyDescent="0.3">
      <c r="B53">
        <v>183</v>
      </c>
      <c r="D53">
        <v>183</v>
      </c>
    </row>
    <row r="54" spans="2:4" x14ac:dyDescent="0.3">
      <c r="B54">
        <v>188</v>
      </c>
      <c r="D54">
        <v>188</v>
      </c>
    </row>
    <row r="55" spans="2:4" x14ac:dyDescent="0.3">
      <c r="B55">
        <v>190</v>
      </c>
      <c r="D55">
        <v>190</v>
      </c>
    </row>
    <row r="56" spans="2:4" x14ac:dyDescent="0.3">
      <c r="B56">
        <v>192</v>
      </c>
      <c r="D56">
        <v>192</v>
      </c>
    </row>
    <row r="57" spans="2:4" x14ac:dyDescent="0.3">
      <c r="B57">
        <v>195</v>
      </c>
      <c r="D57">
        <v>195</v>
      </c>
    </row>
    <row r="58" spans="2:4" x14ac:dyDescent="0.3">
      <c r="B58">
        <v>198</v>
      </c>
      <c r="D58">
        <v>198</v>
      </c>
    </row>
    <row r="59" spans="2:4" x14ac:dyDescent="0.3">
      <c r="B59">
        <v>199</v>
      </c>
      <c r="D59">
        <v>199</v>
      </c>
    </row>
    <row r="60" spans="2:4" x14ac:dyDescent="0.3">
      <c r="B60">
        <v>200</v>
      </c>
      <c r="D60">
        <v>200</v>
      </c>
    </row>
    <row r="61" spans="2:4" x14ac:dyDescent="0.3">
      <c r="B61">
        <v>200</v>
      </c>
      <c r="D61">
        <v>200</v>
      </c>
    </row>
    <row r="62" spans="2:4" x14ac:dyDescent="0.3">
      <c r="B62">
        <v>203</v>
      </c>
      <c r="D62">
        <v>203</v>
      </c>
    </row>
    <row r="63" spans="2:4" x14ac:dyDescent="0.3">
      <c r="B63">
        <v>203</v>
      </c>
      <c r="D63">
        <v>203</v>
      </c>
    </row>
    <row r="64" spans="2:4" x14ac:dyDescent="0.3">
      <c r="B64">
        <v>204</v>
      </c>
      <c r="D64">
        <v>204</v>
      </c>
    </row>
    <row r="65" spans="2:4" x14ac:dyDescent="0.3">
      <c r="B65">
        <v>206</v>
      </c>
      <c r="D65">
        <v>206</v>
      </c>
    </row>
    <row r="66" spans="2:4" x14ac:dyDescent="0.3">
      <c r="B66">
        <v>207</v>
      </c>
      <c r="D66">
        <v>207</v>
      </c>
    </row>
    <row r="67" spans="2:4" x14ac:dyDescent="0.3">
      <c r="B67">
        <v>207</v>
      </c>
      <c r="D67">
        <v>207</v>
      </c>
    </row>
    <row r="68" spans="2:4" x14ac:dyDescent="0.3">
      <c r="B68">
        <v>209</v>
      </c>
      <c r="D68">
        <v>209</v>
      </c>
    </row>
    <row r="69" spans="2:4" x14ac:dyDescent="0.3">
      <c r="B69">
        <v>210</v>
      </c>
      <c r="D69">
        <v>210</v>
      </c>
    </row>
    <row r="70" spans="2:4" x14ac:dyDescent="0.3">
      <c r="B70">
        <v>211</v>
      </c>
      <c r="D70">
        <v>211</v>
      </c>
    </row>
    <row r="71" spans="2:4" x14ac:dyDescent="0.3">
      <c r="B71">
        <v>212</v>
      </c>
      <c r="D71">
        <v>212</v>
      </c>
    </row>
    <row r="72" spans="2:4" x14ac:dyDescent="0.3">
      <c r="B72">
        <v>213</v>
      </c>
      <c r="D72">
        <v>213</v>
      </c>
    </row>
    <row r="73" spans="2:4" x14ac:dyDescent="0.3">
      <c r="B73">
        <v>213</v>
      </c>
      <c r="D73">
        <v>213</v>
      </c>
    </row>
    <row r="74" spans="2:4" x14ac:dyDescent="0.3">
      <c r="B74">
        <v>213</v>
      </c>
      <c r="D74">
        <v>213</v>
      </c>
    </row>
    <row r="75" spans="2:4" x14ac:dyDescent="0.3">
      <c r="B75">
        <v>213</v>
      </c>
      <c r="D75">
        <v>213</v>
      </c>
    </row>
    <row r="76" spans="2:4" x14ac:dyDescent="0.3">
      <c r="B76">
        <v>214</v>
      </c>
      <c r="D76">
        <v>214</v>
      </c>
    </row>
    <row r="77" spans="2:4" x14ac:dyDescent="0.3">
      <c r="B77">
        <v>214</v>
      </c>
      <c r="D77">
        <v>214</v>
      </c>
    </row>
    <row r="78" spans="2:4" x14ac:dyDescent="0.3">
      <c r="B78">
        <v>214</v>
      </c>
      <c r="D78">
        <v>214</v>
      </c>
    </row>
    <row r="79" spans="2:4" x14ac:dyDescent="0.3">
      <c r="B79">
        <v>216</v>
      </c>
      <c r="D79">
        <v>216</v>
      </c>
    </row>
    <row r="80" spans="2:4" x14ac:dyDescent="0.3">
      <c r="B80">
        <v>216</v>
      </c>
      <c r="D80">
        <v>216</v>
      </c>
    </row>
    <row r="81" spans="2:4" x14ac:dyDescent="0.3">
      <c r="B81">
        <v>217</v>
      </c>
      <c r="D81">
        <v>217</v>
      </c>
    </row>
    <row r="82" spans="2:4" x14ac:dyDescent="0.3">
      <c r="B82">
        <v>221</v>
      </c>
      <c r="D82">
        <v>221</v>
      </c>
    </row>
    <row r="83" spans="2:4" x14ac:dyDescent="0.3">
      <c r="B83">
        <v>223</v>
      </c>
      <c r="D83">
        <v>223</v>
      </c>
    </row>
    <row r="84" spans="2:4" x14ac:dyDescent="0.3">
      <c r="B84">
        <v>224</v>
      </c>
      <c r="D84">
        <v>224</v>
      </c>
    </row>
    <row r="85" spans="2:4" x14ac:dyDescent="0.3">
      <c r="B85">
        <v>224</v>
      </c>
      <c r="D85">
        <v>224</v>
      </c>
    </row>
    <row r="86" spans="2:4" x14ac:dyDescent="0.3">
      <c r="B86">
        <v>225</v>
      </c>
      <c r="D86">
        <v>225</v>
      </c>
    </row>
    <row r="87" spans="2:4" x14ac:dyDescent="0.3">
      <c r="B87">
        <v>225</v>
      </c>
      <c r="D87">
        <v>225</v>
      </c>
    </row>
    <row r="88" spans="2:4" x14ac:dyDescent="0.3">
      <c r="B88">
        <v>226</v>
      </c>
      <c r="D88">
        <v>226</v>
      </c>
    </row>
    <row r="89" spans="2:4" x14ac:dyDescent="0.3">
      <c r="B89">
        <v>227</v>
      </c>
      <c r="D89">
        <v>227</v>
      </c>
    </row>
    <row r="90" spans="2:4" x14ac:dyDescent="0.3">
      <c r="B90">
        <v>228</v>
      </c>
      <c r="D90">
        <v>228</v>
      </c>
    </row>
    <row r="91" spans="2:4" x14ac:dyDescent="0.3">
      <c r="B91">
        <v>228</v>
      </c>
      <c r="D91">
        <v>228</v>
      </c>
    </row>
    <row r="92" spans="2:4" x14ac:dyDescent="0.3">
      <c r="B92">
        <v>233</v>
      </c>
      <c r="D92">
        <v>233</v>
      </c>
    </row>
    <row r="93" spans="2:4" x14ac:dyDescent="0.3">
      <c r="B93">
        <v>233</v>
      </c>
      <c r="D93">
        <v>233</v>
      </c>
    </row>
    <row r="94" spans="2:4" x14ac:dyDescent="0.3">
      <c r="B94">
        <v>234</v>
      </c>
      <c r="D94">
        <v>234</v>
      </c>
    </row>
    <row r="95" spans="2:4" x14ac:dyDescent="0.3">
      <c r="B95">
        <v>236</v>
      </c>
      <c r="D95">
        <v>236</v>
      </c>
    </row>
    <row r="96" spans="2:4" x14ac:dyDescent="0.3">
      <c r="B96">
        <v>236</v>
      </c>
      <c r="D96">
        <v>236</v>
      </c>
    </row>
    <row r="97" spans="2:4" x14ac:dyDescent="0.3">
      <c r="B97">
        <v>238</v>
      </c>
      <c r="D97">
        <v>238</v>
      </c>
    </row>
    <row r="98" spans="2:4" x14ac:dyDescent="0.3">
      <c r="B98">
        <v>238</v>
      </c>
      <c r="D98">
        <v>238</v>
      </c>
    </row>
    <row r="99" spans="2:4" x14ac:dyDescent="0.3">
      <c r="B99">
        <v>239</v>
      </c>
      <c r="D99">
        <v>239</v>
      </c>
    </row>
    <row r="100" spans="2:4" x14ac:dyDescent="0.3">
      <c r="B100">
        <v>240</v>
      </c>
      <c r="D100">
        <v>240</v>
      </c>
    </row>
    <row r="101" spans="2:4" x14ac:dyDescent="0.3">
      <c r="B101">
        <v>240</v>
      </c>
      <c r="D101">
        <v>240</v>
      </c>
    </row>
    <row r="102" spans="2:4" x14ac:dyDescent="0.3">
      <c r="B102">
        <v>244</v>
      </c>
      <c r="D102">
        <v>244</v>
      </c>
    </row>
    <row r="103" spans="2:4" x14ac:dyDescent="0.3">
      <c r="B103">
        <v>251</v>
      </c>
      <c r="D103">
        <v>251</v>
      </c>
    </row>
    <row r="104" spans="2:4" x14ac:dyDescent="0.3">
      <c r="B104">
        <v>252</v>
      </c>
      <c r="D104">
        <v>252</v>
      </c>
    </row>
    <row r="105" spans="2:4" x14ac:dyDescent="0.3">
      <c r="B105">
        <v>252</v>
      </c>
      <c r="D105">
        <v>252</v>
      </c>
    </row>
    <row r="106" spans="2:4" x14ac:dyDescent="0.3">
      <c r="B106">
        <v>253</v>
      </c>
      <c r="D106">
        <v>253</v>
      </c>
    </row>
    <row r="107" spans="2:4" x14ac:dyDescent="0.3">
      <c r="B107">
        <v>254</v>
      </c>
      <c r="D107">
        <v>254</v>
      </c>
    </row>
    <row r="108" spans="2:4" x14ac:dyDescent="0.3">
      <c r="B108">
        <v>256</v>
      </c>
      <c r="D108">
        <v>256</v>
      </c>
    </row>
    <row r="109" spans="2:4" x14ac:dyDescent="0.3">
      <c r="B109">
        <v>258</v>
      </c>
      <c r="D109">
        <v>258</v>
      </c>
    </row>
    <row r="110" spans="2:4" x14ac:dyDescent="0.3">
      <c r="B110">
        <v>259</v>
      </c>
      <c r="D110">
        <v>259</v>
      </c>
    </row>
    <row r="111" spans="2:4" x14ac:dyDescent="0.3">
      <c r="B111">
        <v>261</v>
      </c>
      <c r="D111">
        <v>261</v>
      </c>
    </row>
    <row r="112" spans="2:4" x14ac:dyDescent="0.3">
      <c r="B112">
        <v>263</v>
      </c>
      <c r="D112">
        <v>263</v>
      </c>
    </row>
    <row r="113" spans="2:4" x14ac:dyDescent="0.3">
      <c r="B113">
        <v>265</v>
      </c>
      <c r="D113">
        <v>265</v>
      </c>
    </row>
    <row r="114" spans="2:4" x14ac:dyDescent="0.3">
      <c r="B114">
        <v>265</v>
      </c>
      <c r="D114">
        <v>265</v>
      </c>
    </row>
    <row r="115" spans="2:4" x14ac:dyDescent="0.3">
      <c r="B115">
        <v>266</v>
      </c>
      <c r="D115">
        <v>266</v>
      </c>
    </row>
    <row r="116" spans="2:4" x14ac:dyDescent="0.3">
      <c r="B116">
        <v>268</v>
      </c>
      <c r="D116">
        <v>268</v>
      </c>
    </row>
    <row r="117" spans="2:4" x14ac:dyDescent="0.3">
      <c r="B117">
        <v>268</v>
      </c>
      <c r="D117">
        <v>268</v>
      </c>
    </row>
    <row r="118" spans="2:4" x14ac:dyDescent="0.3">
      <c r="B118">
        <v>268</v>
      </c>
      <c r="D118">
        <v>268</v>
      </c>
    </row>
    <row r="119" spans="2:4" x14ac:dyDescent="0.3">
      <c r="B119">
        <v>269</v>
      </c>
      <c r="D119">
        <v>269</v>
      </c>
    </row>
    <row r="120" spans="2:4" x14ac:dyDescent="0.3">
      <c r="B120">
        <v>269</v>
      </c>
      <c r="D120">
        <v>269</v>
      </c>
    </row>
    <row r="121" spans="2:4" x14ac:dyDescent="0.3">
      <c r="B121">
        <v>270</v>
      </c>
      <c r="D121">
        <v>270</v>
      </c>
    </row>
    <row r="122" spans="2:4" x14ac:dyDescent="0.3">
      <c r="B122">
        <v>271</v>
      </c>
      <c r="D122">
        <v>271</v>
      </c>
    </row>
    <row r="123" spans="2:4" x14ac:dyDescent="0.3">
      <c r="B123">
        <v>271</v>
      </c>
      <c r="D123">
        <v>271</v>
      </c>
    </row>
    <row r="124" spans="2:4" x14ac:dyDescent="0.3">
      <c r="B124">
        <v>273</v>
      </c>
      <c r="D124">
        <v>273</v>
      </c>
    </row>
    <row r="125" spans="2:4" x14ac:dyDescent="0.3">
      <c r="B125">
        <v>273</v>
      </c>
      <c r="D125">
        <v>273</v>
      </c>
    </row>
    <row r="126" spans="2:4" x14ac:dyDescent="0.3">
      <c r="B126">
        <v>277</v>
      </c>
      <c r="D126">
        <v>277</v>
      </c>
    </row>
    <row r="127" spans="2:4" x14ac:dyDescent="0.3">
      <c r="B127">
        <v>277</v>
      </c>
      <c r="D127">
        <v>277</v>
      </c>
    </row>
    <row r="128" spans="2:4" x14ac:dyDescent="0.3">
      <c r="B128">
        <v>278</v>
      </c>
      <c r="D128">
        <v>278</v>
      </c>
    </row>
    <row r="129" spans="2:4" x14ac:dyDescent="0.3">
      <c r="B129">
        <v>278</v>
      </c>
      <c r="D129">
        <v>278</v>
      </c>
    </row>
    <row r="130" spans="2:4" x14ac:dyDescent="0.3">
      <c r="B130">
        <v>283</v>
      </c>
      <c r="D130">
        <v>283</v>
      </c>
    </row>
    <row r="131" spans="2:4" x14ac:dyDescent="0.3">
      <c r="B131">
        <v>283</v>
      </c>
      <c r="D131">
        <v>283</v>
      </c>
    </row>
    <row r="132" spans="2:4" x14ac:dyDescent="0.3">
      <c r="B132">
        <v>286</v>
      </c>
      <c r="D132">
        <v>286</v>
      </c>
    </row>
    <row r="133" spans="2:4" x14ac:dyDescent="0.3">
      <c r="B133">
        <v>295</v>
      </c>
      <c r="D133">
        <v>295</v>
      </c>
    </row>
    <row r="134" spans="2:4" x14ac:dyDescent="0.3">
      <c r="B134">
        <v>295</v>
      </c>
      <c r="D134">
        <v>295</v>
      </c>
    </row>
    <row r="135" spans="2:4" x14ac:dyDescent="0.3">
      <c r="B135">
        <v>298</v>
      </c>
      <c r="D135">
        <v>298</v>
      </c>
    </row>
    <row r="136" spans="2:4" x14ac:dyDescent="0.3">
      <c r="B136">
        <v>298</v>
      </c>
      <c r="D136">
        <v>298</v>
      </c>
    </row>
    <row r="137" spans="2:4" x14ac:dyDescent="0.3">
      <c r="B137">
        <v>301</v>
      </c>
      <c r="D137">
        <v>301</v>
      </c>
    </row>
    <row r="138" spans="2:4" x14ac:dyDescent="0.3">
      <c r="B138">
        <v>302</v>
      </c>
      <c r="D138">
        <v>302</v>
      </c>
    </row>
    <row r="139" spans="2:4" x14ac:dyDescent="0.3">
      <c r="B139">
        <v>306</v>
      </c>
      <c r="D139">
        <v>306</v>
      </c>
    </row>
    <row r="140" spans="2:4" x14ac:dyDescent="0.3">
      <c r="B140">
        <v>307</v>
      </c>
      <c r="D140">
        <v>307</v>
      </c>
    </row>
    <row r="141" spans="2:4" x14ac:dyDescent="0.3">
      <c r="B141">
        <v>309</v>
      </c>
      <c r="D141">
        <v>309</v>
      </c>
    </row>
    <row r="142" spans="2:4" x14ac:dyDescent="0.3">
      <c r="B142">
        <v>311</v>
      </c>
      <c r="D142">
        <v>311</v>
      </c>
    </row>
    <row r="143" spans="2:4" x14ac:dyDescent="0.3">
      <c r="B143">
        <v>311</v>
      </c>
      <c r="D143">
        <v>311</v>
      </c>
    </row>
    <row r="144" spans="2:4" x14ac:dyDescent="0.3">
      <c r="B144">
        <v>311</v>
      </c>
      <c r="D144">
        <v>311</v>
      </c>
    </row>
    <row r="145" spans="2:4" x14ac:dyDescent="0.3">
      <c r="B145">
        <v>312</v>
      </c>
      <c r="D145">
        <v>312</v>
      </c>
    </row>
    <row r="146" spans="2:4" x14ac:dyDescent="0.3">
      <c r="B146">
        <v>313</v>
      </c>
      <c r="D146">
        <v>313</v>
      </c>
    </row>
    <row r="147" spans="2:4" x14ac:dyDescent="0.3">
      <c r="B147">
        <v>316</v>
      </c>
      <c r="D147">
        <v>316</v>
      </c>
    </row>
    <row r="148" spans="2:4" x14ac:dyDescent="0.3">
      <c r="B148">
        <v>318</v>
      </c>
      <c r="D148">
        <v>318</v>
      </c>
    </row>
    <row r="149" spans="2:4" x14ac:dyDescent="0.3">
      <c r="B149">
        <v>321</v>
      </c>
      <c r="D149">
        <v>321</v>
      </c>
    </row>
    <row r="150" spans="2:4" x14ac:dyDescent="0.3">
      <c r="B150">
        <v>322</v>
      </c>
      <c r="D150">
        <v>322</v>
      </c>
    </row>
    <row r="151" spans="2:4" x14ac:dyDescent="0.3">
      <c r="B151">
        <v>324</v>
      </c>
      <c r="D151">
        <v>324</v>
      </c>
    </row>
    <row r="152" spans="2:4" x14ac:dyDescent="0.3">
      <c r="B152">
        <v>325</v>
      </c>
      <c r="D152">
        <v>325</v>
      </c>
    </row>
    <row r="153" spans="2:4" x14ac:dyDescent="0.3">
      <c r="B153">
        <v>327</v>
      </c>
      <c r="D153">
        <v>327</v>
      </c>
    </row>
    <row r="154" spans="2:4" x14ac:dyDescent="0.3">
      <c r="B154">
        <v>329</v>
      </c>
      <c r="D154">
        <v>329</v>
      </c>
    </row>
    <row r="155" spans="2:4" x14ac:dyDescent="0.3">
      <c r="B155">
        <v>330</v>
      </c>
      <c r="D155">
        <v>330</v>
      </c>
    </row>
    <row r="156" spans="2:4" x14ac:dyDescent="0.3">
      <c r="B156">
        <v>334</v>
      </c>
      <c r="D156">
        <v>334</v>
      </c>
    </row>
    <row r="157" spans="2:4" x14ac:dyDescent="0.3">
      <c r="B157">
        <v>335</v>
      </c>
      <c r="D157">
        <v>335</v>
      </c>
    </row>
    <row r="158" spans="2:4" x14ac:dyDescent="0.3">
      <c r="B158">
        <v>336</v>
      </c>
      <c r="D158">
        <v>336</v>
      </c>
    </row>
    <row r="159" spans="2:4" x14ac:dyDescent="0.3">
      <c r="B159">
        <v>336</v>
      </c>
      <c r="D159">
        <v>336</v>
      </c>
    </row>
    <row r="160" spans="2:4" x14ac:dyDescent="0.3">
      <c r="B160">
        <v>337</v>
      </c>
      <c r="D160">
        <v>337</v>
      </c>
    </row>
    <row r="161" spans="2:4" x14ac:dyDescent="0.3">
      <c r="B161">
        <v>338</v>
      </c>
      <c r="D161">
        <v>338</v>
      </c>
    </row>
    <row r="162" spans="2:4" x14ac:dyDescent="0.3">
      <c r="B162">
        <v>339</v>
      </c>
      <c r="D162">
        <v>339</v>
      </c>
    </row>
    <row r="163" spans="2:4" x14ac:dyDescent="0.3">
      <c r="B163">
        <v>340</v>
      </c>
      <c r="D163">
        <v>340</v>
      </c>
    </row>
    <row r="164" spans="2:4" x14ac:dyDescent="0.3">
      <c r="B164">
        <v>344</v>
      </c>
      <c r="D164">
        <v>344</v>
      </c>
    </row>
    <row r="165" spans="2:4" x14ac:dyDescent="0.3">
      <c r="B165">
        <v>344</v>
      </c>
      <c r="D165">
        <v>344</v>
      </c>
    </row>
    <row r="166" spans="2:4" x14ac:dyDescent="0.3">
      <c r="B166">
        <v>344</v>
      </c>
      <c r="D166">
        <v>344</v>
      </c>
    </row>
    <row r="167" spans="2:4" x14ac:dyDescent="0.3">
      <c r="B167">
        <v>344</v>
      </c>
      <c r="D167">
        <v>344</v>
      </c>
    </row>
    <row r="168" spans="2:4" x14ac:dyDescent="0.3">
      <c r="B168">
        <v>348</v>
      </c>
      <c r="D168">
        <v>348</v>
      </c>
    </row>
    <row r="169" spans="2:4" x14ac:dyDescent="0.3">
      <c r="B169">
        <v>349</v>
      </c>
      <c r="D169">
        <v>349</v>
      </c>
    </row>
    <row r="170" spans="2:4" x14ac:dyDescent="0.3">
      <c r="B170">
        <v>354</v>
      </c>
      <c r="D170">
        <v>354</v>
      </c>
    </row>
    <row r="171" spans="2:4" x14ac:dyDescent="0.3">
      <c r="B171">
        <v>356</v>
      </c>
      <c r="D171">
        <v>356</v>
      </c>
    </row>
    <row r="172" spans="2:4" x14ac:dyDescent="0.3">
      <c r="B172">
        <v>356</v>
      </c>
      <c r="D172">
        <v>356</v>
      </c>
    </row>
    <row r="173" spans="2:4" x14ac:dyDescent="0.3">
      <c r="B173">
        <v>358</v>
      </c>
      <c r="D173">
        <v>358</v>
      </c>
    </row>
    <row r="174" spans="2:4" x14ac:dyDescent="0.3">
      <c r="B174">
        <v>358</v>
      </c>
      <c r="D174">
        <v>358</v>
      </c>
    </row>
    <row r="175" spans="2:4" x14ac:dyDescent="0.3">
      <c r="B175">
        <v>360</v>
      </c>
      <c r="D175">
        <v>360</v>
      </c>
    </row>
    <row r="176" spans="2:4" x14ac:dyDescent="0.3">
      <c r="B176">
        <v>361</v>
      </c>
      <c r="D176">
        <v>361</v>
      </c>
    </row>
    <row r="177" spans="2:4" x14ac:dyDescent="0.3">
      <c r="B177">
        <v>362</v>
      </c>
      <c r="D177">
        <v>362</v>
      </c>
    </row>
    <row r="178" spans="2:4" x14ac:dyDescent="0.3">
      <c r="B178">
        <v>365</v>
      </c>
      <c r="D178">
        <v>365</v>
      </c>
    </row>
    <row r="179" spans="2:4" x14ac:dyDescent="0.3">
      <c r="B179">
        <v>373</v>
      </c>
      <c r="D179">
        <v>373</v>
      </c>
    </row>
    <row r="180" spans="2:4" x14ac:dyDescent="0.3">
      <c r="B180">
        <v>380</v>
      </c>
      <c r="D180">
        <v>380</v>
      </c>
    </row>
    <row r="181" spans="2:4" x14ac:dyDescent="0.3">
      <c r="B181">
        <v>385</v>
      </c>
      <c r="D181">
        <v>385</v>
      </c>
    </row>
    <row r="182" spans="2:4" x14ac:dyDescent="0.3">
      <c r="B182">
        <v>390</v>
      </c>
      <c r="D182">
        <v>390</v>
      </c>
    </row>
    <row r="183" spans="2:4" x14ac:dyDescent="0.3">
      <c r="B183">
        <v>401</v>
      </c>
      <c r="D183">
        <v>401</v>
      </c>
    </row>
    <row r="184" spans="2:4" x14ac:dyDescent="0.3">
      <c r="B184">
        <v>410</v>
      </c>
      <c r="D184">
        <v>410</v>
      </c>
    </row>
    <row r="185" spans="2:4" x14ac:dyDescent="0.3">
      <c r="B185">
        <v>412</v>
      </c>
      <c r="D185">
        <v>412</v>
      </c>
    </row>
    <row r="186" spans="2:4" x14ac:dyDescent="0.3">
      <c r="B186">
        <v>418</v>
      </c>
      <c r="D186">
        <v>418</v>
      </c>
    </row>
    <row r="187" spans="2:4" x14ac:dyDescent="0.3">
      <c r="B187">
        <v>421</v>
      </c>
      <c r="D187">
        <v>421</v>
      </c>
    </row>
    <row r="188" spans="2:4" x14ac:dyDescent="0.3">
      <c r="B188">
        <v>423</v>
      </c>
      <c r="D188">
        <v>423</v>
      </c>
    </row>
    <row r="189" spans="2:4" x14ac:dyDescent="0.3">
      <c r="B189">
        <v>426</v>
      </c>
      <c r="D189">
        <v>426</v>
      </c>
    </row>
    <row r="190" spans="2:4" x14ac:dyDescent="0.3">
      <c r="B190">
        <v>427</v>
      </c>
      <c r="D190">
        <v>427</v>
      </c>
    </row>
    <row r="191" spans="2:4" x14ac:dyDescent="0.3">
      <c r="B191">
        <v>430</v>
      </c>
      <c r="D191">
        <v>430</v>
      </c>
    </row>
    <row r="192" spans="2:4" x14ac:dyDescent="0.3">
      <c r="B192">
        <v>430</v>
      </c>
      <c r="D192">
        <v>430</v>
      </c>
    </row>
    <row r="193" spans="2:4" x14ac:dyDescent="0.3">
      <c r="B193">
        <v>431</v>
      </c>
      <c r="D193">
        <v>431</v>
      </c>
    </row>
    <row r="194" spans="2:4" x14ac:dyDescent="0.3">
      <c r="B194">
        <v>438</v>
      </c>
      <c r="D194">
        <v>438</v>
      </c>
    </row>
    <row r="195" spans="2:4" x14ac:dyDescent="0.3">
      <c r="B195">
        <v>442</v>
      </c>
      <c r="D195">
        <v>442</v>
      </c>
    </row>
    <row r="196" spans="2:4" x14ac:dyDescent="0.3">
      <c r="B196">
        <v>445</v>
      </c>
      <c r="D196">
        <v>445</v>
      </c>
    </row>
    <row r="197" spans="2:4" x14ac:dyDescent="0.3">
      <c r="B197">
        <v>445</v>
      </c>
      <c r="D197">
        <v>445</v>
      </c>
    </row>
    <row r="198" spans="2:4" x14ac:dyDescent="0.3">
      <c r="B198">
        <v>447</v>
      </c>
      <c r="D198">
        <v>447</v>
      </c>
    </row>
    <row r="199" spans="2:4" x14ac:dyDescent="0.3">
      <c r="B199">
        <v>453</v>
      </c>
      <c r="D199">
        <v>453</v>
      </c>
    </row>
    <row r="200" spans="2:4" x14ac:dyDescent="0.3">
      <c r="B200">
        <v>467</v>
      </c>
      <c r="D200">
        <v>467</v>
      </c>
    </row>
    <row r="201" spans="2:4" x14ac:dyDescent="0.3">
      <c r="B201">
        <v>471</v>
      </c>
      <c r="D201">
        <v>471</v>
      </c>
    </row>
    <row r="202" spans="2:4" x14ac:dyDescent="0.3">
      <c r="B202">
        <v>474</v>
      </c>
      <c r="D202">
        <v>474</v>
      </c>
    </row>
    <row r="203" spans="2:4" x14ac:dyDescent="0.3">
      <c r="B203">
        <v>487</v>
      </c>
      <c r="D203">
        <v>487</v>
      </c>
    </row>
    <row r="204" spans="2:4" x14ac:dyDescent="0.3">
      <c r="B204">
        <v>493</v>
      </c>
      <c r="D204">
        <v>493</v>
      </c>
    </row>
    <row r="205" spans="2:4" x14ac:dyDescent="0.3">
      <c r="B205">
        <v>518</v>
      </c>
      <c r="D205">
        <v>518</v>
      </c>
    </row>
    <row r="206" spans="2:4" x14ac:dyDescent="0.3">
      <c r="B206">
        <v>539</v>
      </c>
      <c r="D206">
        <v>539</v>
      </c>
    </row>
    <row r="207" spans="2:4" x14ac:dyDescent="0.3">
      <c r="B207">
        <v>563</v>
      </c>
      <c r="D207">
        <v>563</v>
      </c>
    </row>
    <row r="208" spans="2:4" x14ac:dyDescent="0.3">
      <c r="B208" s="10" t="s">
        <v>33</v>
      </c>
      <c r="D208" s="10">
        <v>262</v>
      </c>
    </row>
    <row r="209" spans="1:4" x14ac:dyDescent="0.3">
      <c r="B209" s="10" t="s">
        <v>33</v>
      </c>
      <c r="D209" s="10">
        <v>262</v>
      </c>
    </row>
    <row r="210" spans="1:4" x14ac:dyDescent="0.3">
      <c r="B210" s="10" t="s">
        <v>33</v>
      </c>
      <c r="D210" s="10">
        <v>262</v>
      </c>
    </row>
    <row r="211" spans="1:4" x14ac:dyDescent="0.3">
      <c r="B211" s="10" t="s">
        <v>33</v>
      </c>
      <c r="D211" s="10">
        <v>262</v>
      </c>
    </row>
    <row r="214" spans="1:4" x14ac:dyDescent="0.3">
      <c r="A214" t="s">
        <v>47</v>
      </c>
      <c r="B214" s="3">
        <f>AVERAGE(B$3:B$211)</f>
        <v>262.48292682926831</v>
      </c>
      <c r="D214" s="3">
        <f>AVERAGE(D$3:D$211)</f>
        <v>262.4736842105263</v>
      </c>
    </row>
    <row r="216" spans="1:4" ht="15.6" x14ac:dyDescent="0.3">
      <c r="A216" t="s">
        <v>48</v>
      </c>
      <c r="B216" s="4">
        <f>STDEV(B$3:B$211)</f>
        <v>102.92852055836056</v>
      </c>
      <c r="D216" s="4">
        <f>STDEV(D$3:D$211)</f>
        <v>101.9340403545153</v>
      </c>
    </row>
    <row r="219" spans="1:4" x14ac:dyDescent="0.3">
      <c r="A219" t="s">
        <v>49</v>
      </c>
      <c r="B219">
        <f>MIN(B$3:B$211)</f>
        <v>70</v>
      </c>
      <c r="D219">
        <f>MIN(D$3:D$211)</f>
        <v>70</v>
      </c>
    </row>
    <row r="221" spans="1:4" x14ac:dyDescent="0.3">
      <c r="A221" t="s">
        <v>50</v>
      </c>
      <c r="B221" s="3">
        <f>QUARTILE(B$3:B$211,1)</f>
        <v>188</v>
      </c>
      <c r="D221" s="3">
        <f>QUARTILE(D$3:D$211,1)</f>
        <v>190</v>
      </c>
    </row>
    <row r="223" spans="1:4" x14ac:dyDescent="0.3">
      <c r="A223" t="s">
        <v>51</v>
      </c>
      <c r="B223" s="3">
        <f>MEDIAN(B$3:B$211)</f>
        <v>252</v>
      </c>
      <c r="D223" s="3">
        <f>MEDIAN(D$3:D$211)</f>
        <v>254</v>
      </c>
    </row>
    <row r="225" spans="1:4" x14ac:dyDescent="0.3">
      <c r="A225" t="s">
        <v>52</v>
      </c>
      <c r="B225">
        <f>QUARTILE(B$3:B$211,3)</f>
        <v>334</v>
      </c>
      <c r="D225">
        <f>QUARTILE(D$3:D$211,3)</f>
        <v>330</v>
      </c>
    </row>
    <row r="227" spans="1:4" x14ac:dyDescent="0.3">
      <c r="A227" t="s">
        <v>53</v>
      </c>
      <c r="B227">
        <f>MAX(B$3:B$211)</f>
        <v>563</v>
      </c>
      <c r="D227">
        <f>MAX(D$3:D$211)</f>
        <v>563</v>
      </c>
    </row>
    <row r="229" spans="1:4" x14ac:dyDescent="0.3">
      <c r="A229" t="s">
        <v>54</v>
      </c>
      <c r="B229">
        <f>B227-B219</f>
        <v>493</v>
      </c>
      <c r="D229">
        <f>D227-D219</f>
        <v>493</v>
      </c>
    </row>
    <row r="231" spans="1:4" x14ac:dyDescent="0.3">
      <c r="A231" t="s">
        <v>55</v>
      </c>
      <c r="B231">
        <f>B221-B225</f>
        <v>-146</v>
      </c>
      <c r="D231">
        <f>D221-D225</f>
        <v>-140</v>
      </c>
    </row>
    <row r="233" spans="1:4" x14ac:dyDescent="0.3">
      <c r="A233" t="s">
        <v>56</v>
      </c>
      <c r="B233">
        <f>MODE(B$3:B$211)</f>
        <v>213</v>
      </c>
      <c r="D233">
        <f>MODE(D$3:D$211)</f>
        <v>213</v>
      </c>
    </row>
  </sheetData>
  <sortState xmlns:xlrd2="http://schemas.microsoft.com/office/spreadsheetml/2017/richdata2" ref="D3:D211">
    <sortCondition ref="D3:D211"/>
  </sortState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011553B6A213439A233E198422578E" ma:contentTypeVersion="7" ma:contentTypeDescription="Create a new document." ma:contentTypeScope="" ma:versionID="cd5ed6bded15de144e283c2fa89cf5fa">
  <xsd:schema xmlns:xsd="http://www.w3.org/2001/XMLSchema" xmlns:xs="http://www.w3.org/2001/XMLSchema" xmlns:p="http://schemas.microsoft.com/office/2006/metadata/properties" xmlns:ns3="35e33262-acf6-4979-aba2-f10529fa3cb9" xmlns:ns4="b3999c4b-8509-43ce-8a98-990906ad654d" targetNamespace="http://schemas.microsoft.com/office/2006/metadata/properties" ma:root="true" ma:fieldsID="d1d16cc0750f6b5885d85634f88368c5" ns3:_="" ns4:_="">
    <xsd:import namespace="35e33262-acf6-4979-aba2-f10529fa3cb9"/>
    <xsd:import namespace="b3999c4b-8509-43ce-8a98-990906ad654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e33262-acf6-4979-aba2-f10529fa3c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999c4b-8509-43ce-8a98-990906ad654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4D3CB6-622F-4B2D-98C2-05A6C8291DA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F8ED64A-EACB-4127-9706-C46A547B74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e33262-acf6-4979-aba2-f10529fa3cb9"/>
    <ds:schemaRef ds:uri="b3999c4b-8509-43ce-8a98-990906ad65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C528B0-9165-428D-BCD3-4D5EA36D7A7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cirrhosis (2)</vt:lpstr>
      <vt:lpstr>Partialy clean</vt:lpstr>
      <vt:lpstr>Cleaned</vt:lpstr>
      <vt:lpstr>Class</vt:lpstr>
      <vt:lpstr>N_Days</vt:lpstr>
      <vt:lpstr>Status</vt:lpstr>
      <vt:lpstr>Drug</vt:lpstr>
      <vt:lpstr>Age</vt:lpstr>
      <vt:lpstr>Sex</vt:lpstr>
      <vt:lpstr>Ascites</vt:lpstr>
      <vt:lpstr>Hepatomegaly</vt:lpstr>
      <vt:lpstr>Spiders</vt:lpstr>
      <vt:lpstr>Edema</vt:lpstr>
      <vt:lpstr>Bilirubin</vt:lpstr>
      <vt:lpstr>Cholesterol</vt:lpstr>
      <vt:lpstr>Albumin</vt:lpstr>
      <vt:lpstr>Copper</vt:lpstr>
      <vt:lpstr>SGOT</vt:lpstr>
      <vt:lpstr>Tryglicerides</vt:lpstr>
      <vt:lpstr>Prothrombin</vt:lpstr>
      <vt:lpstr>Platelets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Shweta Shah</dc:creator>
  <cp:keywords/>
  <dc:description/>
  <cp:lastModifiedBy>Shweta Shah</cp:lastModifiedBy>
  <cp:revision/>
  <dcterms:created xsi:type="dcterms:W3CDTF">2022-03-02T07:52:24Z</dcterms:created>
  <dcterms:modified xsi:type="dcterms:W3CDTF">2026-03-12T16:06:19Z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0x0101001F011553B6A213439A233E198422578E</vt:lpwstr>
  </property>
</Properties>
</file>